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ta" sheetId="2" state="visible" r:id="rId4"/>
    <sheet name="Baseline Model" sheetId="3" state="visible" r:id="rId5"/>
    <sheet name="Store Enablement Economics" sheetId="4" state="visible" r:id="rId6"/>
    <sheet name="Strategy Comparison" sheetId="5" state="visible" r:id="rId7"/>
    <sheet name="Pooling Sensitivity" sheetId="6" state="visible" r:id="rId8"/>
    <sheet name="Goal Programming" sheetId="7" state="visible" r:id="rId9"/>
    <sheet name="Risk (Expected Value)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<sst xmlns="http://schemas.openxmlformats.org/spreadsheetml/2006/main" count="262" uniqueCount="194">
  <si>
    <t xml:space="preserve">Style Sphere — Omnichannel Inventory Model</t>
  </si>
  <si>
    <t xml:space="preserve">Purpose</t>
  </si>
  <si>
    <t xml:space="preserve">Implements the Fixed-Charge / Big-M / Goal-Programming models built for the Style Sphere case (ship-from-store enablement, pooling limit, cost vs. service trade-offs).</t>
  </si>
  <si>
    <t xml:space="preserve">How to use this file</t>
  </si>
  <si>
    <t xml:space="preserve">•  Data sheet — every number from Exhibits 1-6, transcribed exactly. Change anything here and downstream sheets recalc.</t>
  </si>
  <si>
    <t xml:space="preserve">•  Baseline Model — the full Fixed-Charge transportation LP (Model 1). Blue cells (x_ij, y_s) are Solver's decision variables.</t>
  </si>
  <si>
    <t xml:space="preserve">•     To re-solve: Data tab -&gt; Solver -&gt; Set Objective = Total Cost cell (minimize) -&gt; By Changing: the blue x and y ranges -&gt; Subject to: the constraint rows shown -&gt; check 'Make Unconstrained Variables Non-Negative' -&gt; Solving Method: Simplex LP -&gt; Solve.</t>
  </si>
  <si>
    <t xml:space="preserve">•  Store Enablement Economics — Model 2: payback period for turning ON each store individually (pure fulfilment-cost savings).</t>
  </si>
  <si>
    <t xml:space="preserve">•  Strategy Comparison — three pre-solved scenarios (Separated / Selective / Highly Pooled) side by side.</t>
  </si>
  <si>
    <t xml:space="preserve">•  Pooling Sensitivity — Model 4: cost &amp; service as the pooling limit p rises from 30% to 50%.</t>
  </si>
  <si>
    <t xml:space="preserve">•  Goal Programming — Model 3: multi-goal version (fill rate, store protection, cost, markdown) with weighted deviation variables. Solver-ready.</t>
  </si>
  <si>
    <t xml:space="preserve">•  Risk (Expected Value) — Model 5 equations turned into expected-value formulas from Exhibits 5-6 (a full 1,000+ trial Monte Carlo needs a script; this sheet gives the single-point expected-value estimate that a simulation would center on).</t>
  </si>
  <si>
    <t xml:space="preserve">Color key</t>
  </si>
  <si>
    <t xml:space="preserve">Blue text</t>
  </si>
  <si>
    <t xml:space="preserve">Hardcoded input / Solver decision variable — edit freely</t>
  </si>
  <si>
    <t xml:space="preserve">Black text</t>
  </si>
  <si>
    <t xml:space="preserve">Live formula — do not overwrite</t>
  </si>
  <si>
    <t xml:space="preserve">Yellow fill</t>
  </si>
  <si>
    <t xml:space="preserve">Key assumption you should sanity-check before trusting the output</t>
  </si>
  <si>
    <t xml:space="preserve">Key assumption flagged</t>
  </si>
  <si>
    <t xml:space="preserve">The case gives no amortization horizon for the one-time store-enablement cost (Exhibit 1). Rather than guess a number of months, the Baseline Model treats enablement as a separate CAPITAL decision, evaluated on the Store Enablement Economics sheet via payback period — this is the standard way capex decisions are made and avoids an arbitrary amortization assumption.</t>
  </si>
  <si>
    <t xml:space="preserve">Data — Exhibits 1 to 6</t>
  </si>
  <si>
    <t xml:space="preserve">Exhibit 1. Warehouses and Stores</t>
  </si>
  <si>
    <t xml:space="preserve">Location</t>
  </si>
  <si>
    <t xml:space="preserve">Type</t>
  </si>
  <si>
    <t xml:space="preserve">Local Demand</t>
  </si>
  <si>
    <t xml:space="preserve">Storage/Throughput Capacity</t>
  </si>
  <si>
    <t xml:space="preserve">Enablement Cost (Rs lakh)</t>
  </si>
  <si>
    <t xml:space="preserve">W1 North</t>
  </si>
  <si>
    <t xml:space="preserve">Warehouse</t>
  </si>
  <si>
    <t xml:space="preserve">W2 South</t>
  </si>
  <si>
    <t xml:space="preserve">S1</t>
  </si>
  <si>
    <t xml:space="preserve">Store</t>
  </si>
  <si>
    <t xml:space="preserve">S2</t>
  </si>
  <si>
    <t xml:space="preserve">S3</t>
  </si>
  <si>
    <t xml:space="preserve">S4</t>
  </si>
  <si>
    <t xml:space="preserve">S5</t>
  </si>
  <si>
    <t xml:space="preserve">Exhibit 2. Online Regional Demand</t>
  </si>
  <si>
    <t xml:space="preserve">Region</t>
  </si>
  <si>
    <t xml:space="preserve">Mean Demand/Month</t>
  </si>
  <si>
    <t xml:space="preserve">Std Dev</t>
  </si>
  <si>
    <t xml:space="preserve">Target Delivery Share &lt;=2 days</t>
  </si>
  <si>
    <t xml:space="preserve">North</t>
  </si>
  <si>
    <t xml:space="preserve">West</t>
  </si>
  <si>
    <t xml:space="preserve">South</t>
  </si>
  <si>
    <t xml:space="preserve">East</t>
  </si>
  <si>
    <t xml:space="preserve">Exhibit 3. Average Online Fulfilment Cost per Order (Rs)</t>
  </si>
  <si>
    <t xml:space="preserve">Facility</t>
  </si>
  <si>
    <t xml:space="preserve">W1</t>
  </si>
  <si>
    <t xml:space="preserve">W2</t>
  </si>
  <si>
    <t xml:space="preserve">Exhibit 4. Inventory Economics</t>
  </si>
  <si>
    <t xml:space="preserve">Outcome</t>
  </si>
  <si>
    <t xml:space="preserve">Planning Value (Rs)</t>
  </si>
  <si>
    <t xml:space="preserve">Store stockout contribution loss (/unit)</t>
  </si>
  <si>
    <t xml:space="preserve">Online lost-sale contribution loss (/order)</t>
  </si>
  <si>
    <t xml:space="preserve">End-of-month excess inventory holding (/unit)</t>
  </si>
  <si>
    <t xml:space="preserve">Markdown on aged fashion inventory (/unit)</t>
  </si>
  <si>
    <t xml:space="preserve">Store-to-store transfer (/unit)</t>
  </si>
  <si>
    <t xml:space="preserve">Exhibit 5. Demand Uncertainty</t>
  </si>
  <si>
    <t xml:space="preserve">Input</t>
  </si>
  <si>
    <t xml:space="preserve">Uncertainty (as % of mean, or probability)</t>
  </si>
  <si>
    <t xml:space="preserve">Store demand std dev</t>
  </si>
  <si>
    <t xml:space="preserve">Online regional demand std dev</t>
  </si>
  <si>
    <t xml:space="preserve">Promotional surge probability (x1.25 online demand)</t>
  </si>
  <si>
    <t xml:space="preserve">Exhibit 6. Returns</t>
  </si>
  <si>
    <t xml:space="preserve">Condition</t>
  </si>
  <si>
    <t xml:space="preserve">Probability</t>
  </si>
  <si>
    <t xml:space="preserve">Online Return Rate</t>
  </si>
  <si>
    <t xml:space="preserve">Low</t>
  </si>
  <si>
    <t xml:space="preserve">Normal</t>
  </si>
  <si>
    <t xml:space="preserve">High</t>
  </si>
  <si>
    <t xml:space="preserve">Additional Uncertainty &amp; Policy Parameters</t>
  </si>
  <si>
    <t xml:space="preserve">Local demand spike size</t>
  </si>
  <si>
    <t xml:space="preserve">Local demand spike probability</t>
  </si>
  <si>
    <t xml:space="preserve">Warehouse capacity loss (labor disruption)</t>
  </si>
  <si>
    <t xml:space="preserve">Labor disruption probability</t>
  </si>
  <si>
    <t xml:space="preserve">Returned inventory immediately resaleable share</t>
  </si>
  <si>
    <t xml:space="preserve">Pooling limit p (policy lever - change this!)</t>
  </si>
  <si>
    <t xml:space="preserve">Baseline Model — Fixed-Charge Transportation LP (Model 1)</t>
  </si>
  <si>
    <t xml:space="preserve">Step 1 — Facility capacity &amp; cost per order to each region (pulled live from Data sheet)</t>
  </si>
  <si>
    <t xml:space="preserve">Capacity</t>
  </si>
  <si>
    <t xml:space="preserve">Enabled? (y)</t>
  </si>
  <si>
    <t xml:space="preserve">Enable Cost (Rs)</t>
  </si>
  <si>
    <t xml:space="preserve">n/a</t>
  </si>
  <si>
    <t xml:space="preserve">-</t>
  </si>
  <si>
    <t xml:space="preserve">Step 2 — Decision variables: units/orders shipped, facility -&gt; region (x_ij). Blue = Solver changes these.</t>
  </si>
  <si>
    <t xml:space="preserve">Total shipped</t>
  </si>
  <si>
    <t xml:space="preserve">Slack</t>
  </si>
  <si>
    <t xml:space="preserve">Step 3 — Demand balance check by region (must be = 0, i.e. demand fully met, or watch 'Lost' column)</t>
  </si>
  <si>
    <t xml:space="preserve">Demand</t>
  </si>
  <si>
    <t xml:space="preserve">Total Shipped (all facilities)</t>
  </si>
  <si>
    <t xml:space="preserve">Lost sales</t>
  </si>
  <si>
    <t xml:space="preserve">Fill rate</t>
  </si>
  <si>
    <t xml:space="preserve">Step 4 — Store pooling-cap &amp; local-demand-protection constraints</t>
  </si>
  <si>
    <t xml:space="preserve">Online shipped (sum)</t>
  </si>
  <si>
    <t xml:space="preserve">Pooling limit p x Capacity x y</t>
  </si>
  <si>
    <t xml:space="preserve">Slack (must be &gt;=0)</t>
  </si>
  <si>
    <t xml:space="preserve">Local demand</t>
  </si>
  <si>
    <t xml:space="preserve">Local + Online</t>
  </si>
  <si>
    <t xml:space="preserve">Step 5 — Objective (Solver target: minimize)</t>
  </si>
  <si>
    <t xml:space="preserve">Fulfilment cost (Rs/month)</t>
  </si>
  <si>
    <t xml:space="preserve">Online lost-sale penalty (Rs/month)</t>
  </si>
  <si>
    <t xml:space="preserve">TOTAL MONTHLY COST  (Solver Objective Cell)</t>
  </si>
  <si>
    <t xml:space="preserve">Overall online fill rate</t>
  </si>
  <si>
    <t xml:space="preserve">Solver setup</t>
  </si>
  <si>
    <t xml:space="preserve">Set Objective:  B41   (Min)</t>
  </si>
  <si>
    <t xml:space="preserve">By Changing Variable Cells:  B15:E21  (the x_ij grid)  and  G7:G11  (the y_s binaries for stores)</t>
  </si>
  <si>
    <t xml:space="preserve">Subject to constraints:</t>
  </si>
  <si>
    <t xml:space="preserve">   D32:D36 &gt;= 0   (pooling cap)</t>
  </si>
  <si>
    <t xml:space="preserve">   H32:H36 &gt;= 0   (protect local/walk-in demand)</t>
  </si>
  <si>
    <t xml:space="preserve">   F25:F28 &lt;= 1 or a chosen minimum service level (fill rate)</t>
  </si>
  <si>
    <t xml:space="preserve">   B15:E21 &gt;= 0</t>
  </si>
  <si>
    <t xml:space="preserve">   G7:G11 = binary</t>
  </si>
  <si>
    <t xml:space="preserve">Solving method: Simplex LP (uncheck if using binaries then it auto-switches to Branch &amp; Bound).</t>
  </si>
  <si>
    <t xml:space="preserve">Model 2 — Store Enablement Economics (Fixed-Charge Payback)</t>
  </si>
  <si>
    <t xml:space="preserve">Method: solve the pure allocation LP twice - once with NO stores enabled (Separated), once with ONLY store s enabled at pooling limit p=30% - the difference in fulfilment cost is store s's monthly value.</t>
  </si>
  <si>
    <t xml:space="preserve">Separated baseline fulfilment cost (Rs/month, from Model 1 with all y_s = 0):</t>
  </si>
  <si>
    <t xml:space="preserve">Monthly Saving from enabling alone (Rs)</t>
  </si>
  <si>
    <t xml:space="preserve">Payback (months)</t>
  </si>
  <si>
    <t xml:space="preserve">Verdict</t>
  </si>
  <si>
    <t xml:space="preserve">Payback hurdle (months) — management's capex threshold:</t>
  </si>
  <si>
    <t xml:space="preserve">Note: on pure fulfilment-cost economics alone, most stores exceed a typical 24-48 month hurdle - the real case for enabling S2/S4/S5 rests on SERVICE value (stockout &amp; lost-sale risk reduction under demand surges / warehouse disruption - see Risk sheet), not fulfilment-cost savings alone.</t>
  </si>
  <si>
    <t xml:space="preserve">Deliverable 3 — Separated vs Selective vs Highly Pooled</t>
  </si>
  <si>
    <t xml:space="preserve">Each column = one full solve of Model 1 (see equations doc) under different y_s / p settings.</t>
  </si>
  <si>
    <t xml:space="preserve">Metric</t>
  </si>
  <si>
    <t xml:space="preserve">Separated
(all y_s = 0)</t>
  </si>
  <si>
    <t xml:space="preserve">Selective
(cost-optimal y_s, p=30%)</t>
  </si>
  <si>
    <t xml:space="preserve">Highly Pooled
(all y_s=1, p=50%)</t>
  </si>
  <si>
    <t xml:space="preserve">Stores enabled</t>
  </si>
  <si>
    <t xml:space="preserve">None</t>
  </si>
  <si>
    <t xml:space="preserve">None (cost-optimal at p=30% enables none - see note)</t>
  </si>
  <si>
    <t xml:space="preserve">S1,S2,S3,S4,S5</t>
  </si>
  <si>
    <t xml:space="preserve">Saving vs Separated (Rs/month)</t>
  </si>
  <si>
    <t xml:space="preserve">Online lost sales (units)</t>
  </si>
  <si>
    <t xml:space="preserve">Online fill rate</t>
  </si>
  <si>
    <t xml:space="preserve">Amortised enablement cost (12 mo, Rs/month) [Model 1 opt.]</t>
  </si>
  <si>
    <t xml:space="preserve">Store online-capacity used (units)</t>
  </si>
  <si>
    <t xml:space="preserve">Warehouse capacity headroom (units)</t>
  </si>
  <si>
    <t xml:space="preserve">Key takeaway</t>
  </si>
  <si>
    <t xml:space="preserve">Because total warehouse capacity (54,000) already exceeds total online demand (33,000) at the mean, pure cost-minimization barely favors ship-from-store (~Rs 77,000/month max saving, against Rs 9-14 lakh one-time enablement costs). The service-resilience case (protecting fill rate during promo surges / warehouse disruption - see Risk sheet) is the real argument for enabling S2, S4 and S5.</t>
  </si>
  <si>
    <t xml:space="preserve">Deliverable 6 — Sensitivity to the Pooling Limit p (Model 4)</t>
  </si>
  <si>
    <t xml:space="preserve">All stores enabled; only the pooling limit p changes. Values below come from re-solving Model 1 at each p (the small deltas confirm most stores' capacity is already the binding constraint by p=40%).</t>
  </si>
  <si>
    <t xml:space="preserve">Pooling limit p</t>
  </si>
  <si>
    <t xml:space="preserve">30%</t>
  </si>
  <si>
    <t xml:space="preserve">40%</t>
  </si>
  <si>
    <t xml:space="preserve">50%</t>
  </si>
  <si>
    <t xml:space="preserve">Store online capacity committed (units)</t>
  </si>
  <si>
    <t xml:space="preserve">Store capacity used (units, from solve)</t>
  </si>
  <si>
    <t xml:space="preserve">Warehouse capacity freed up (units)</t>
  </si>
  <si>
    <t xml:space="preserve">Reading this table (Deliverable 7 material)</t>
  </si>
  <si>
    <t xml:space="preserve">Cost savings plateau almost immediately after p=30% -&gt; 40% (Rs 75,900 to Rs 77,100 - a ~1.6% further gain), while committed store online-capacity keeps climbing (10,350 -&gt; 17,250 units) with no extra fulfilment benefit under mean demand. This is the classic diminishing-returns 'knee': raising the pooling limit beyond ~40% adds store-availability RISK (less capacity reserved for walk-in) without a matching cost or service payoff under normal conditions - its value only shows up during promo surges / disruption (see Risk sheet). Recommendation: hold p at 30-40%, revisit only when online demand growth (~22% YoY per Exhibit 3) pushes total demand materially closer to combined capacity.</t>
  </si>
  <si>
    <t xml:space="preserve">Model 3 — Goal Programming (weighted deviations)</t>
  </si>
  <si>
    <t xml:space="preserve">Solver-ready template. Deviation variables (blue) are Solver's decision variables alongside the x_ij grid on the Baseline Model sheet. Weights (yellow) are policy choices - raise a weight to make Solver protect that goal harder.</t>
  </si>
  <si>
    <t xml:space="preserve">Goal</t>
  </si>
  <si>
    <t xml:space="preserve">Target</t>
  </si>
  <si>
    <t xml:space="preserve">Actual (link to Baseline Model)</t>
  </si>
  <si>
    <t xml:space="preserve">d- (shortfall)</t>
  </si>
  <si>
    <t xml:space="preserve">d+ (excess)</t>
  </si>
  <si>
    <t xml:space="preserve">Weight</t>
  </si>
  <si>
    <t xml:space="preserve">G1: Online fill rate &gt;= 96%</t>
  </si>
  <si>
    <t xml:space="preserve">G2: Store availability - online diversion &lt;= 30% of store capacity (protects walk-in)</t>
  </si>
  <si>
    <t xml:space="preserve">G3: Fulfilment cost &lt;= budget (Rs 2,150,000/month)</t>
  </si>
  <si>
    <t xml:space="preserve">G4: End-season markdown units &lt;= 9% of inventory (current baseline)</t>
  </si>
  <si>
    <t xml:space="preserve">Weighted Goal Programming Objective (Solver target: minimize)</t>
  </si>
  <si>
    <t xml:space="preserve">Notes</t>
  </si>
  <si>
    <t xml:space="preserve">•  Each deviation is normalized (divided by its target) before weighting, exactly like the percentage-deviation objective in the Session 19-20 slides - this stops the Rs-denominated cost goal from swamping the %-denominated service goals.</t>
  </si>
  <si>
    <t xml:space="preserve">•  System constraints (warehouse &amp; store capacity, Baseline Model Steps 3-4) still apply as HARD constraints in Solver - Goal Programming only relaxes the four listed GOALS, never physical capacity.</t>
  </si>
  <si>
    <t xml:space="preserve">•  Raise a weight in column F to make Solver protect that goal more strongly; re-run Solver after any weight change.</t>
  </si>
  <si>
    <t xml:space="preserve">Deliverables 4-5 — Risk Metrics (Model 5, Expected-Value form)</t>
  </si>
  <si>
    <t xml:space="preserve">These are single-point EXPECTED values computed directly from the probabilities in Exhibits 5-6 (equations 11-15 in the model doc). For full risk DISTRIBUTIONS (e.g. 90th percentile stockout risk), run a 1,000+ trial Monte Carlo - the Python script used to build this workbook can be extended to do that; ask and I'll generate it.</t>
  </si>
  <si>
    <t xml:space="preserve">Expected Value</t>
  </si>
  <si>
    <t xml:space="preserve">Formula / logic</t>
  </si>
  <si>
    <t xml:space="preserve">Expected online return rate</t>
  </si>
  <si>
    <t xml:space="preserve">Probability-weighted average of Low/Normal/High return rates (Exhibit 6)</t>
  </si>
  <si>
    <t xml:space="preserve">Expected promo-driven online demand uplift</t>
  </si>
  <si>
    <t xml:space="preserve">P(promo) x demand multiplier uplift (0.15 x 25%)</t>
  </si>
  <si>
    <t xml:space="preserve">Expected local-spike demand uplift (per store, unconditional)</t>
  </si>
  <si>
    <t xml:space="preserve">P(spike) x spike size (0.10 x 20%)</t>
  </si>
  <si>
    <t xml:space="preserve">Expected warehouse capacity loss (disruption)</t>
  </si>
  <si>
    <t xml:space="preserve">P(labor disruption) x capacity cut (0.08 x 15%)</t>
  </si>
  <si>
    <t xml:space="preserve">Applying these to the Baseline allocation:</t>
  </si>
  <si>
    <t xml:space="preserve">Expected effective warehouse capacity (Rs/month basis, units)</t>
  </si>
  <si>
    <t xml:space="preserve">Expected online demand incl. promo uplift (units)</t>
  </si>
  <si>
    <t xml:space="preserve">Warehouse-only headroom under this adverse scenario (units)</t>
  </si>
  <si>
    <t xml:space="preserve">Expected online lost sales if warehouses alone must absorb it (units)</t>
  </si>
  <si>
    <t xml:space="preserve">-&gt; Expected online lost-sale cost (Rs/month)</t>
  </si>
  <si>
    <t xml:space="preserve">Expected returned units (at baseline online demand)</t>
  </si>
  <si>
    <t xml:space="preserve">  of which immediately resaleable</t>
  </si>
  <si>
    <t xml:space="preserve">  of which incurs markdown-risk cost</t>
  </si>
  <si>
    <t xml:space="preserve">-&gt; Expected markdown exposure (Rs/month)</t>
  </si>
  <si>
    <t xml:space="preserve">-&gt; Expected store-to-store transfer cost of returns rerouted to stores (Rs/month)</t>
  </si>
  <si>
    <t xml:space="preserve">Assumes ~50% of resaleable returns get transferred store-to-store rather than restocked in place - edit the 0.5 factor if you have a better estimate.</t>
  </si>
  <si>
    <t xml:space="preserve">Why this matters for the recommendation</t>
  </si>
  <si>
    <t xml:space="preserve">Under the MEAN-demand Baseline Model, warehouses alone have ~15,500 units of headroom (54,000 - 33,000) so ship-from-store adds almost nothing on cost. But once you stack the promo-surge uplift with the labor-disruption capacity cut (this sheet), that headroom compresses sharply - this is precisely the scenario where enabled stores (S2, S4, S5) function as a release valve. This is the quantitative basis for recommending SELECTIVE enablement (not separated, not fully pooled) as insurance against tail risk, even though the mean-case cost saving alone doesn't justify it.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</si>
</sst>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%"/>
    <numFmt numFmtId="167" formatCode="0.0%"/>
    <numFmt numFmtId="168" formatCode="0.0"/>
    <numFmt numFmtId="169" formatCode="0"/>
    <numFmt numFmtId="170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  <fill>
      <patternFill patternType="solid">
        <fgColor rgb="FF2E75B6"/>
        <bgColor rgb="FF4A7EBB"/>
      </patternFill>
    </fill>
    <fill>
      <patternFill patternType="solid">
        <fgColor rgb="FFE2EFDA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BB59"/>
      <rgbColor rgb="FF800080"/>
      <rgbColor rgb="FF008080"/>
      <rgbColor rgb="FFBFBFBF"/>
      <rgbColor rgb="FF808080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8B855"/>
      <rgbColor rgb="FFFFCC00"/>
      <rgbColor rgb="FFFF9900"/>
      <rgbColor rgb="FFFF6600"/>
      <rgbColor rgb="FF4A7EBB"/>
      <rgbColor rgb="FF878787"/>
      <rgbColor rgb="FF003366"/>
      <rgbColor rgb="FF4F81BD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Fulfilment Cost by Strategy (Rs/month)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'Strategy Comparison'!$B$6:$D$6</c:f>
              <c:strCache>
                <c:ptCount val="3"/>
                <c:pt idx="0">
                  <c:v>None</c:v>
                </c:pt>
                <c:pt idx="1">
                  <c:v>None (cost-optimal at p=30% enables none - see note)</c:v>
                </c:pt>
                <c:pt idx="2">
                  <c:v>S1,S2,S3,S4,S5</c:v>
                </c:pt>
              </c:strCache>
            </c:strRef>
          </c:cat>
          <c:val>
            <c:numRef>
              <c:f>'Strategy Comparison'!$B$7</c:f>
              <c:numCache>
                <c:formatCode>#,##0</c:formatCode>
                <c:ptCount val="1"/>
                <c:pt idx="0">
                  <c:v>2119000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'Strategy Comparison'!$B$6:$D$6</c:f>
              <c:strCache>
                <c:ptCount val="3"/>
                <c:pt idx="0">
                  <c:v>None</c:v>
                </c:pt>
                <c:pt idx="1">
                  <c:v>None (cost-optimal at p=30% enables none - see note)</c:v>
                </c:pt>
                <c:pt idx="2">
                  <c:v>S1,S2,S3,S4,S5</c:v>
                </c:pt>
              </c:strCache>
            </c:strRef>
          </c:cat>
          <c:val>
            <c:numRef>
              <c:f>'Strategy Comparison'!$C$7</c:f>
              <c:numCache>
                <c:formatCode>#,##0</c:formatCode>
                <c:ptCount val="1"/>
                <c:pt idx="0">
                  <c:v>2119000</c:v>
                </c:pt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'Strategy Comparison'!$B$6:$D$6</c:f>
              <c:strCache>
                <c:ptCount val="3"/>
                <c:pt idx="0">
                  <c:v>None</c:v>
                </c:pt>
                <c:pt idx="1">
                  <c:v>None (cost-optimal at p=30% enables none - see note)</c:v>
                </c:pt>
                <c:pt idx="2">
                  <c:v>S1,S2,S3,S4,S5</c:v>
                </c:pt>
              </c:strCache>
            </c:strRef>
          </c:cat>
          <c:val>
            <c:numRef>
              <c:f>'Strategy Comparison'!$D$7</c:f>
              <c:numCache>
                <c:formatCode>#,##0</c:formatCode>
                <c:ptCount val="1"/>
                <c:pt idx="0">
                  <c:v>2041900</c:v>
                </c:pt>
              </c:numCache>
            </c:numRef>
          </c:val>
        </c:ser>
        <c:gapWidth val="150"/>
        <c:overlap val="0"/>
        <c:axId val="24101794"/>
        <c:axId val="25470086"/>
      </c:barChart>
      <c:catAx>
        <c:axId val="241017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Strategy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70086"/>
        <c:crosses val="autoZero"/>
        <c:auto val="1"/>
        <c:lblAlgn val="ctr"/>
        <c:lblOffset val="100"/>
        <c:noMultiLvlLbl val="0"/>
      </c:catAx>
      <c:valAx>
        <c:axId val="254700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017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Saving vs Pooling Limit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'Pooling Sensitivity'!$B$7</c:f>
              <c:numCache>
                <c:formatCode>#,##0</c:formatCode>
                <c:ptCount val="1"/>
                <c:pt idx="0">
                  <c:v>75900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'Pooling Sensitivity'!$C$7</c:f>
              <c:numCache>
                <c:formatCode>#,##0</c:formatCode>
                <c:ptCount val="1"/>
                <c:pt idx="0">
                  <c:v>77100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'Pooling Sensitivity'!$D$7</c:f>
              <c:numCache>
                <c:formatCode>#,##0</c:formatCode>
                <c:ptCount val="1"/>
                <c:pt idx="0">
                  <c:v>77100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744319"/>
        <c:axId val="12132936"/>
      </c:lineChart>
      <c:catAx>
        <c:axId val="317443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Pooling limit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32936"/>
        <c:crosses val="autoZero"/>
        <c:auto val="1"/>
        <c:lblAlgn val="ctr"/>
        <c:lblOffset val="100"/>
        <c:noMultiLvlLbl val="0"/>
      </c:catAx>
      <c:valAx>
        <c:axId val="12132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 saving /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443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124920</xdr:rowOff>
    </xdr:from>
    <xdr:to>
      <xdr:col>3</xdr:col>
      <xdr:colOff>183600</xdr:colOff>
      <xdr:row>25</xdr:row>
      <xdr:rowOff>157680</xdr:rowOff>
    </xdr:to>
    <xdr:graphicFrame>
      <xdr:nvGraphicFramePr>
        <xdr:cNvPr id="0" name="Chart 1"/>
        <xdr:cNvGraphicFramePr/>
      </xdr:nvGraphicFramePr>
      <xdr:xfrm>
        <a:off x="0" y="3514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735120</xdr:rowOff>
    </xdr:from>
    <xdr:to>
      <xdr:col>3</xdr:col>
      <xdr:colOff>1029600</xdr:colOff>
      <xdr:row>27</xdr:row>
      <xdr:rowOff>139320</xdr:rowOff>
    </xdr:to>
    <xdr:graphicFrame>
      <xdr:nvGraphicFramePr>
        <xdr:cNvPr id="1" name="Chart 1"/>
        <xdr:cNvGraphicFramePr/>
      </xdr:nvGraphicFramePr>
      <xdr:xfrm>
        <a:off x="0" y="41432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25.5" hidden="false" customHeight="true" outlineLevel="0" collapsed="false">
      <c r="A1" s="1" t="s">
        <v>0</v>
      </c>
      <c r="B1" s="1"/>
    </row>
    <row r="3" customFormat="false" ht="15.75" hidden="false" customHeight="true" outlineLevel="0" collapsed="false">
      <c r="A3" s="2" t="s">
        <v>1</v>
      </c>
      <c r="B3" s="3" t="s">
        <v>2</v>
      </c>
    </row>
    <row r="4" customFormat="false" ht="15.75" hidden="false" customHeight="true" outlineLevel="0" collapsed="false"/>
    <row r="5" customFormat="false" ht="30" hidden="false" customHeight="true" outlineLevel="0" collapsed="false">
      <c r="A5" s="2" t="s">
        <v>3</v>
      </c>
    </row>
    <row r="6" customFormat="false" ht="30" hidden="false" customHeight="true" outlineLevel="0" collapsed="false">
      <c r="B6" s="3" t="s">
        <v>4</v>
      </c>
    </row>
    <row r="7" customFormat="false" ht="30" hidden="false" customHeight="true" outlineLevel="0" collapsed="false">
      <c r="B7" s="3" t="s">
        <v>5</v>
      </c>
    </row>
    <row r="8" customFormat="false" ht="30" hidden="false" customHeight="true" outlineLevel="0" collapsed="false">
      <c r="B8" s="3" t="s">
        <v>6</v>
      </c>
    </row>
    <row r="9" customFormat="false" ht="30" hidden="false" customHeight="true" outlineLevel="0" collapsed="false">
      <c r="B9" s="3" t="s">
        <v>7</v>
      </c>
    </row>
    <row r="10" customFormat="false" ht="30" hidden="false" customHeight="true" outlineLevel="0" collapsed="false">
      <c r="B10" s="3" t="s">
        <v>8</v>
      </c>
    </row>
    <row r="11" customFormat="false" ht="30" hidden="false" customHeight="true" outlineLevel="0" collapsed="false">
      <c r="B11" s="3" t="s">
        <v>9</v>
      </c>
    </row>
    <row r="12" customFormat="false" ht="30" hidden="false" customHeight="true" outlineLevel="0" collapsed="false">
      <c r="B12" s="3" t="s">
        <v>10</v>
      </c>
    </row>
    <row r="13" customFormat="false" ht="30" hidden="false" customHeight="true" outlineLevel="0" collapsed="false">
      <c r="B13" s="3" t="s">
        <v>11</v>
      </c>
    </row>
    <row r="14" customFormat="false" ht="30" hidden="false" customHeight="true" outlineLevel="0" collapsed="false"/>
    <row r="15" customFormat="false" ht="30" hidden="false" customHeight="true" outlineLevel="0" collapsed="false">
      <c r="A15" s="2" t="s">
        <v>12</v>
      </c>
    </row>
    <row r="16" customFormat="false" ht="30" hidden="false" customHeight="true" outlineLevel="0" collapsed="false">
      <c r="A16" s="4" t="s">
        <v>13</v>
      </c>
      <c r="B16" s="3" t="s">
        <v>14</v>
      </c>
    </row>
    <row r="17" customFormat="false" ht="30" hidden="false" customHeight="true" outlineLevel="0" collapsed="false">
      <c r="A17" s="5" t="s">
        <v>15</v>
      </c>
      <c r="B17" s="3" t="s">
        <v>16</v>
      </c>
    </row>
    <row r="18" customFormat="false" ht="30" hidden="false" customHeight="true" outlineLevel="0" collapsed="false">
      <c r="A18" s="6" t="s">
        <v>17</v>
      </c>
      <c r="B18" s="3" t="s">
        <v>18</v>
      </c>
    </row>
    <row r="19" customFormat="false" ht="30" hidden="false" customHeight="true" outlineLevel="0" collapsed="false"/>
    <row r="20" customFormat="false" ht="30" hidden="false" customHeight="true" outlineLevel="0" collapsed="false">
      <c r="A20" s="2" t="s">
        <v>19</v>
      </c>
    </row>
    <row r="21" customFormat="false" ht="30" hidden="false" customHeight="true" outlineLevel="0" collapsed="false">
      <c r="B21" s="3" t="s">
        <v>20</v>
      </c>
    </row>
    <row r="22" customFormat="false" ht="30" hidden="false" customHeight="true" outlineLevel="0" collapsed="false"/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5" min="4" style="0" width="16"/>
    <col collapsed="false" customWidth="true" hidden="false" outlineLevel="0" max="11" min="6" style="0" width="12"/>
  </cols>
  <sheetData>
    <row r="1" customFormat="false" ht="21.75" hidden="false" customHeight="true" outlineLevel="0" collapsed="false">
      <c r="A1" s="7" t="s">
        <v>21</v>
      </c>
      <c r="B1" s="7"/>
      <c r="C1" s="7"/>
      <c r="D1" s="7"/>
      <c r="E1" s="7"/>
      <c r="F1" s="7"/>
      <c r="G1" s="7"/>
      <c r="H1" s="7"/>
      <c r="I1" s="7"/>
    </row>
    <row r="3" customFormat="false" ht="35.05" hidden="false" customHeight="false" outlineLevel="0" collapsed="false">
      <c r="A3" s="8" t="s">
        <v>22</v>
      </c>
    </row>
    <row r="4" customFormat="false" ht="35.05" hidden="false" customHeight="false" outlineLevel="0" collapsed="false">
      <c r="A4" s="9" t="s">
        <v>23</v>
      </c>
      <c r="B4" s="9" t="s">
        <v>24</v>
      </c>
      <c r="C4" s="9" t="s">
        <v>25</v>
      </c>
      <c r="D4" s="9" t="s">
        <v>26</v>
      </c>
      <c r="E4" s="9" t="s">
        <v>27</v>
      </c>
    </row>
    <row r="5" customFormat="false" ht="15" hidden="false" customHeight="false" outlineLevel="0" collapsed="false">
      <c r="A5" s="4" t="s">
        <v>28</v>
      </c>
      <c r="B5" s="4" t="s">
        <v>29</v>
      </c>
      <c r="C5" s="10"/>
      <c r="D5" s="11" t="n">
        <v>28000</v>
      </c>
      <c r="E5" s="10"/>
    </row>
    <row r="6" customFormat="false" ht="15" hidden="false" customHeight="false" outlineLevel="0" collapsed="false">
      <c r="A6" s="4" t="s">
        <v>30</v>
      </c>
      <c r="B6" s="4" t="s">
        <v>29</v>
      </c>
      <c r="C6" s="10"/>
      <c r="D6" s="11" t="n">
        <v>26000</v>
      </c>
      <c r="E6" s="10"/>
    </row>
    <row r="7" customFormat="false" ht="15" hidden="false" customHeight="false" outlineLevel="0" collapsed="false">
      <c r="A7" s="4" t="s">
        <v>31</v>
      </c>
      <c r="B7" s="4" t="s">
        <v>32</v>
      </c>
      <c r="C7" s="11" t="n">
        <v>5000</v>
      </c>
      <c r="D7" s="11" t="n">
        <v>7000</v>
      </c>
      <c r="E7" s="11" t="n">
        <v>12</v>
      </c>
    </row>
    <row r="8" customFormat="false" ht="15" hidden="false" customHeight="false" outlineLevel="0" collapsed="false">
      <c r="A8" s="4" t="s">
        <v>33</v>
      </c>
      <c r="B8" s="4" t="s">
        <v>32</v>
      </c>
      <c r="C8" s="11" t="n">
        <v>4500</v>
      </c>
      <c r="D8" s="11" t="n">
        <v>6500</v>
      </c>
      <c r="E8" s="11" t="n">
        <v>10</v>
      </c>
    </row>
    <row r="9" customFormat="false" ht="15" hidden="false" customHeight="false" outlineLevel="0" collapsed="false">
      <c r="A9" s="4" t="s">
        <v>34</v>
      </c>
      <c r="B9" s="4" t="s">
        <v>32</v>
      </c>
      <c r="C9" s="11" t="n">
        <v>6200</v>
      </c>
      <c r="D9" s="11" t="n">
        <v>8000</v>
      </c>
      <c r="E9" s="11" t="n">
        <v>14</v>
      </c>
    </row>
    <row r="10" customFormat="false" ht="15" hidden="false" customHeight="false" outlineLevel="0" collapsed="false">
      <c r="A10" s="4" t="s">
        <v>35</v>
      </c>
      <c r="B10" s="4" t="s">
        <v>32</v>
      </c>
      <c r="C10" s="11" t="n">
        <v>3800</v>
      </c>
      <c r="D10" s="11" t="n">
        <v>5500</v>
      </c>
      <c r="E10" s="11" t="n">
        <v>9</v>
      </c>
    </row>
    <row r="11" customFormat="false" ht="15" hidden="false" customHeight="false" outlineLevel="0" collapsed="false">
      <c r="A11" s="4" t="s">
        <v>36</v>
      </c>
      <c r="B11" s="4" t="s">
        <v>32</v>
      </c>
      <c r="C11" s="11" t="n">
        <v>5500</v>
      </c>
      <c r="D11" s="11" t="n">
        <v>7500</v>
      </c>
      <c r="E11" s="11" t="n">
        <v>13</v>
      </c>
    </row>
    <row r="13" customFormat="false" ht="23.85" hidden="false" customHeight="false" outlineLevel="0" collapsed="false">
      <c r="A13" s="8" t="s">
        <v>37</v>
      </c>
    </row>
    <row r="14" customFormat="false" ht="23.85" hidden="false" customHeight="false" outlineLevel="0" collapsed="false">
      <c r="A14" s="9" t="s">
        <v>38</v>
      </c>
      <c r="B14" s="9" t="s">
        <v>39</v>
      </c>
      <c r="C14" s="9" t="s">
        <v>40</v>
      </c>
      <c r="D14" s="9" t="s">
        <v>41</v>
      </c>
    </row>
    <row r="15" customFormat="false" ht="15" hidden="false" customHeight="false" outlineLevel="0" collapsed="false">
      <c r="A15" s="4" t="s">
        <v>42</v>
      </c>
      <c r="B15" s="11" t="n">
        <v>9000</v>
      </c>
      <c r="C15" s="11" t="n">
        <v>1620</v>
      </c>
      <c r="D15" s="12" t="n">
        <v>0.9</v>
      </c>
    </row>
    <row r="16" customFormat="false" ht="15" hidden="false" customHeight="false" outlineLevel="0" collapsed="false">
      <c r="A16" s="4" t="s">
        <v>43</v>
      </c>
      <c r="B16" s="11" t="n">
        <v>7500</v>
      </c>
      <c r="C16" s="11" t="n">
        <v>1350</v>
      </c>
      <c r="D16" s="12" t="n">
        <v>0.85</v>
      </c>
    </row>
    <row r="17" customFormat="false" ht="15" hidden="false" customHeight="false" outlineLevel="0" collapsed="false">
      <c r="A17" s="4" t="s">
        <v>44</v>
      </c>
      <c r="B17" s="11" t="n">
        <v>10000</v>
      </c>
      <c r="C17" s="11" t="n">
        <v>1800</v>
      </c>
      <c r="D17" s="12" t="n">
        <v>0.9</v>
      </c>
    </row>
    <row r="18" customFormat="false" ht="15" hidden="false" customHeight="false" outlineLevel="0" collapsed="false">
      <c r="A18" s="4" t="s">
        <v>45</v>
      </c>
      <c r="B18" s="11" t="n">
        <v>6500</v>
      </c>
      <c r="C18" s="11" t="n">
        <v>1170</v>
      </c>
      <c r="D18" s="12" t="n">
        <v>0.85</v>
      </c>
    </row>
    <row r="20" customFormat="false" ht="46.25" hidden="false" customHeight="false" outlineLevel="0" collapsed="false">
      <c r="A20" s="8" t="s">
        <v>46</v>
      </c>
    </row>
    <row r="21" customFormat="false" ht="15" hidden="false" customHeight="false" outlineLevel="0" collapsed="false">
      <c r="A21" s="9" t="s">
        <v>47</v>
      </c>
      <c r="B21" s="9" t="s">
        <v>42</v>
      </c>
      <c r="C21" s="9" t="s">
        <v>43</v>
      </c>
      <c r="D21" s="9" t="s">
        <v>44</v>
      </c>
      <c r="E21" s="9" t="s">
        <v>45</v>
      </c>
    </row>
    <row r="22" customFormat="false" ht="15" hidden="false" customHeight="false" outlineLevel="0" collapsed="false">
      <c r="A22" s="4" t="s">
        <v>48</v>
      </c>
      <c r="B22" s="11" t="n">
        <v>58</v>
      </c>
      <c r="C22" s="11" t="n">
        <v>72</v>
      </c>
      <c r="D22" s="11" t="n">
        <v>105</v>
      </c>
      <c r="E22" s="11" t="n">
        <v>92</v>
      </c>
    </row>
    <row r="23" customFormat="false" ht="15" hidden="false" customHeight="false" outlineLevel="0" collapsed="false">
      <c r="A23" s="4" t="s">
        <v>49</v>
      </c>
      <c r="B23" s="11" t="n">
        <v>96</v>
      </c>
      <c r="C23" s="11" t="n">
        <v>88</v>
      </c>
      <c r="D23" s="11" t="n">
        <v>55</v>
      </c>
      <c r="E23" s="11" t="n">
        <v>78</v>
      </c>
    </row>
    <row r="24" customFormat="false" ht="15" hidden="false" customHeight="false" outlineLevel="0" collapsed="false">
      <c r="A24" s="4" t="s">
        <v>31</v>
      </c>
      <c r="B24" s="11" t="n">
        <v>62</v>
      </c>
      <c r="C24" s="11" t="n">
        <v>70</v>
      </c>
      <c r="D24" s="11" t="n">
        <v>90</v>
      </c>
      <c r="E24" s="11" t="n">
        <v>87</v>
      </c>
    </row>
    <row r="25" customFormat="false" ht="15" hidden="false" customHeight="false" outlineLevel="0" collapsed="false">
      <c r="A25" s="4" t="s">
        <v>33</v>
      </c>
      <c r="B25" s="11" t="n">
        <v>68</v>
      </c>
      <c r="C25" s="11" t="n">
        <v>61</v>
      </c>
      <c r="D25" s="11" t="n">
        <v>95</v>
      </c>
      <c r="E25" s="11" t="n">
        <v>87</v>
      </c>
    </row>
    <row r="26" customFormat="false" ht="15" hidden="false" customHeight="false" outlineLevel="0" collapsed="false">
      <c r="A26" s="4" t="s">
        <v>34</v>
      </c>
      <c r="B26" s="11" t="n">
        <v>98</v>
      </c>
      <c r="C26" s="11" t="n">
        <v>84</v>
      </c>
      <c r="D26" s="11" t="n">
        <v>60</v>
      </c>
      <c r="E26" s="11" t="n">
        <v>73</v>
      </c>
    </row>
    <row r="27" customFormat="false" ht="15" hidden="false" customHeight="false" outlineLevel="0" collapsed="false">
      <c r="A27" s="4" t="s">
        <v>35</v>
      </c>
      <c r="B27" s="11" t="n">
        <v>82</v>
      </c>
      <c r="C27" s="11" t="n">
        <v>75</v>
      </c>
      <c r="D27" s="11" t="n">
        <v>78</v>
      </c>
      <c r="E27" s="11" t="n">
        <v>65</v>
      </c>
    </row>
    <row r="28" customFormat="false" ht="15" hidden="false" customHeight="false" outlineLevel="0" collapsed="false">
      <c r="A28" s="4" t="s">
        <v>36</v>
      </c>
      <c r="B28" s="11" t="n">
        <v>76</v>
      </c>
      <c r="C28" s="11" t="n">
        <v>69</v>
      </c>
      <c r="D28" s="11" t="n">
        <v>71</v>
      </c>
      <c r="E28" s="11" t="n">
        <v>68</v>
      </c>
    </row>
    <row r="30" customFormat="false" ht="35.05" hidden="false" customHeight="false" outlineLevel="0" collapsed="false">
      <c r="A30" s="8" t="s">
        <v>50</v>
      </c>
    </row>
    <row r="31" customFormat="false" ht="23.85" hidden="false" customHeight="false" outlineLevel="0" collapsed="false">
      <c r="A31" s="9" t="s">
        <v>51</v>
      </c>
      <c r="B31" s="9" t="s">
        <v>52</v>
      </c>
    </row>
    <row r="32" customFormat="false" ht="35.05" hidden="false" customHeight="false" outlineLevel="0" collapsed="false">
      <c r="A32" s="3" t="s">
        <v>53</v>
      </c>
      <c r="B32" s="11" t="n">
        <v>420</v>
      </c>
    </row>
    <row r="33" customFormat="false" ht="35.05" hidden="false" customHeight="false" outlineLevel="0" collapsed="false">
      <c r="A33" s="3" t="s">
        <v>54</v>
      </c>
      <c r="B33" s="11" t="n">
        <v>360</v>
      </c>
    </row>
    <row r="34" customFormat="false" ht="35.05" hidden="false" customHeight="false" outlineLevel="0" collapsed="false">
      <c r="A34" s="3" t="s">
        <v>55</v>
      </c>
      <c r="B34" s="11" t="n">
        <v>35</v>
      </c>
    </row>
    <row r="35" customFormat="false" ht="35.05" hidden="false" customHeight="false" outlineLevel="0" collapsed="false">
      <c r="A35" s="3" t="s">
        <v>56</v>
      </c>
      <c r="B35" s="11" t="n">
        <v>110</v>
      </c>
    </row>
    <row r="36" customFormat="false" ht="23.85" hidden="false" customHeight="false" outlineLevel="0" collapsed="false">
      <c r="A36" s="3" t="s">
        <v>57</v>
      </c>
      <c r="B36" s="11" t="n">
        <v>55</v>
      </c>
    </row>
    <row r="38" customFormat="false" ht="35.05" hidden="false" customHeight="false" outlineLevel="0" collapsed="false">
      <c r="A38" s="8" t="s">
        <v>58</v>
      </c>
    </row>
    <row r="39" customFormat="false" ht="35.05" hidden="false" customHeight="false" outlineLevel="0" collapsed="false">
      <c r="A39" s="9" t="s">
        <v>59</v>
      </c>
      <c r="B39" s="9" t="s">
        <v>60</v>
      </c>
    </row>
    <row r="40" customFormat="false" ht="23.85" hidden="false" customHeight="false" outlineLevel="0" collapsed="false">
      <c r="A40" s="3" t="s">
        <v>61</v>
      </c>
      <c r="B40" s="12" t="n">
        <v>0.12</v>
      </c>
    </row>
    <row r="41" customFormat="false" ht="23.85" hidden="false" customHeight="false" outlineLevel="0" collapsed="false">
      <c r="A41" s="3" t="s">
        <v>62</v>
      </c>
      <c r="B41" s="12" t="n">
        <v>0.18</v>
      </c>
    </row>
    <row r="42" customFormat="false" ht="35.05" hidden="false" customHeight="false" outlineLevel="0" collapsed="false">
      <c r="A42" s="3" t="s">
        <v>63</v>
      </c>
      <c r="B42" s="12" t="n">
        <v>0.15</v>
      </c>
    </row>
    <row r="44" customFormat="false" ht="15" hidden="false" customHeight="false" outlineLevel="0" collapsed="false">
      <c r="A44" s="8" t="s">
        <v>64</v>
      </c>
    </row>
    <row r="45" customFormat="false" ht="23.85" hidden="false" customHeight="false" outlineLevel="0" collapsed="false">
      <c r="A45" s="9" t="s">
        <v>65</v>
      </c>
      <c r="B45" s="9" t="s">
        <v>66</v>
      </c>
      <c r="C45" s="9" t="s">
        <v>67</v>
      </c>
    </row>
    <row r="46" customFormat="false" ht="15" hidden="false" customHeight="false" outlineLevel="0" collapsed="false">
      <c r="A46" s="3" t="s">
        <v>68</v>
      </c>
      <c r="B46" s="12" t="n">
        <v>0.25</v>
      </c>
      <c r="C46" s="12" t="n">
        <v>0.1</v>
      </c>
    </row>
    <row r="47" customFormat="false" ht="15" hidden="false" customHeight="false" outlineLevel="0" collapsed="false">
      <c r="A47" s="3" t="s">
        <v>69</v>
      </c>
      <c r="B47" s="12" t="n">
        <v>0.5</v>
      </c>
      <c r="C47" s="12" t="n">
        <v>0.15</v>
      </c>
    </row>
    <row r="48" customFormat="false" ht="15" hidden="false" customHeight="false" outlineLevel="0" collapsed="false">
      <c r="A48" s="3" t="s">
        <v>70</v>
      </c>
      <c r="B48" s="12" t="n">
        <v>0.25</v>
      </c>
      <c r="C48" s="12" t="n">
        <v>0.22</v>
      </c>
    </row>
    <row r="50" customFormat="false" ht="46.25" hidden="false" customHeight="false" outlineLevel="0" collapsed="false">
      <c r="A50" s="8" t="s">
        <v>71</v>
      </c>
    </row>
    <row r="51" customFormat="false" ht="23.85" hidden="false" customHeight="false" outlineLevel="0" collapsed="false">
      <c r="A51" s="3" t="s">
        <v>72</v>
      </c>
      <c r="B51" s="12" t="n">
        <v>0.2</v>
      </c>
    </row>
    <row r="52" customFormat="false" ht="23.85" hidden="false" customHeight="false" outlineLevel="0" collapsed="false">
      <c r="A52" s="3" t="s">
        <v>73</v>
      </c>
      <c r="B52" s="12" t="n">
        <v>0.1</v>
      </c>
    </row>
    <row r="53" customFormat="false" ht="35.05" hidden="false" customHeight="false" outlineLevel="0" collapsed="false">
      <c r="A53" s="3" t="s">
        <v>74</v>
      </c>
      <c r="B53" s="12" t="n">
        <v>0.15</v>
      </c>
    </row>
    <row r="54" customFormat="false" ht="23.85" hidden="false" customHeight="false" outlineLevel="0" collapsed="false">
      <c r="A54" s="3" t="s">
        <v>75</v>
      </c>
      <c r="B54" s="12" t="n">
        <v>0.08</v>
      </c>
    </row>
    <row r="55" customFormat="false" ht="35.05" hidden="false" customHeight="false" outlineLevel="0" collapsed="false">
      <c r="A55" s="3" t="s">
        <v>76</v>
      </c>
      <c r="B55" s="12" t="n">
        <v>0.7</v>
      </c>
    </row>
    <row r="56" customFormat="false" ht="35.05" hidden="false" customHeight="false" outlineLevel="0" collapsed="false">
      <c r="A56" s="3" t="s">
        <v>77</v>
      </c>
      <c r="B56" s="13" t="n">
        <v>0.3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2"/>
    <col collapsed="false" customWidth="true" hidden="false" outlineLevel="0" max="7" min="6" style="0" width="14"/>
    <col collapsed="false" customWidth="true" hidden="false" outlineLevel="0" max="8" min="8" style="0" width="16"/>
  </cols>
  <sheetData>
    <row r="1" customFormat="false" ht="21.75" hidden="false" customHeight="true" outlineLevel="0" collapsed="false">
      <c r="A1" s="1" t="s">
        <v>78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A3" s="8" t="s">
        <v>79</v>
      </c>
      <c r="B3" s="8"/>
      <c r="C3" s="8"/>
      <c r="D3" s="8"/>
      <c r="E3" s="8"/>
      <c r="F3" s="8"/>
      <c r="G3" s="8"/>
      <c r="H3" s="8"/>
    </row>
    <row r="4" customFormat="false" ht="15" hidden="false" customHeight="false" outlineLevel="0" collapsed="false">
      <c r="A4" s="9" t="s">
        <v>47</v>
      </c>
      <c r="B4" s="9" t="s">
        <v>80</v>
      </c>
      <c r="C4" s="9" t="s">
        <v>42</v>
      </c>
      <c r="D4" s="9" t="s">
        <v>43</v>
      </c>
      <c r="E4" s="9" t="s">
        <v>44</v>
      </c>
      <c r="F4" s="9" t="s">
        <v>45</v>
      </c>
      <c r="G4" s="9" t="s">
        <v>81</v>
      </c>
      <c r="H4" s="9" t="s">
        <v>82</v>
      </c>
    </row>
    <row r="5" customFormat="false" ht="15" hidden="false" customHeight="false" outlineLevel="0" collapsed="false">
      <c r="A5" s="2" t="s">
        <v>48</v>
      </c>
      <c r="B5" s="14" t="n">
        <f aca="false">Data!D5</f>
        <v>28000</v>
      </c>
      <c r="C5" s="14" t="n">
        <f aca="false">Data!B22</f>
        <v>58</v>
      </c>
      <c r="D5" s="14" t="n">
        <f aca="false">Data!C22</f>
        <v>72</v>
      </c>
      <c r="E5" s="14" t="n">
        <f aca="false">Data!D22</f>
        <v>105</v>
      </c>
      <c r="F5" s="14" t="n">
        <f aca="false">Data!E22</f>
        <v>92</v>
      </c>
      <c r="G5" s="15" t="s">
        <v>83</v>
      </c>
      <c r="H5" s="15" t="s">
        <v>84</v>
      </c>
    </row>
    <row r="6" customFormat="false" ht="15" hidden="false" customHeight="false" outlineLevel="0" collapsed="false">
      <c r="A6" s="2" t="s">
        <v>49</v>
      </c>
      <c r="B6" s="14" t="n">
        <f aca="false">Data!D6</f>
        <v>26000</v>
      </c>
      <c r="C6" s="14" t="n">
        <f aca="false">Data!B23</f>
        <v>96</v>
      </c>
      <c r="D6" s="14" t="n">
        <f aca="false">Data!C23</f>
        <v>88</v>
      </c>
      <c r="E6" s="14" t="n">
        <f aca="false">Data!D23</f>
        <v>55</v>
      </c>
      <c r="F6" s="14" t="n">
        <f aca="false">Data!E23</f>
        <v>78</v>
      </c>
      <c r="G6" s="15" t="s">
        <v>83</v>
      </c>
      <c r="H6" s="15" t="s">
        <v>84</v>
      </c>
    </row>
    <row r="7" customFormat="false" ht="15" hidden="false" customHeight="false" outlineLevel="0" collapsed="false">
      <c r="A7" s="2" t="s">
        <v>31</v>
      </c>
      <c r="B7" s="14" t="n">
        <f aca="false">Data!D7</f>
        <v>7000</v>
      </c>
      <c r="C7" s="14" t="n">
        <f aca="false">Data!B24</f>
        <v>62</v>
      </c>
      <c r="D7" s="14" t="n">
        <f aca="false">Data!C24</f>
        <v>70</v>
      </c>
      <c r="E7" s="14" t="n">
        <f aca="false">Data!D24</f>
        <v>90</v>
      </c>
      <c r="F7" s="14" t="n">
        <f aca="false">Data!E24</f>
        <v>87</v>
      </c>
      <c r="G7" s="16" t="n">
        <v>1</v>
      </c>
      <c r="H7" s="14" t="n">
        <f aca="false">Data!E7*100000</f>
        <v>1200000</v>
      </c>
    </row>
    <row r="8" customFormat="false" ht="15" hidden="false" customHeight="false" outlineLevel="0" collapsed="false">
      <c r="A8" s="2" t="s">
        <v>33</v>
      </c>
      <c r="B8" s="14" t="n">
        <f aca="false">Data!D8</f>
        <v>6500</v>
      </c>
      <c r="C8" s="14" t="n">
        <f aca="false">Data!B25</f>
        <v>68</v>
      </c>
      <c r="D8" s="14" t="n">
        <f aca="false">Data!C25</f>
        <v>61</v>
      </c>
      <c r="E8" s="14" t="n">
        <f aca="false">Data!D25</f>
        <v>95</v>
      </c>
      <c r="F8" s="14" t="n">
        <f aca="false">Data!E25</f>
        <v>87</v>
      </c>
      <c r="G8" s="16" t="n">
        <v>1</v>
      </c>
      <c r="H8" s="14" t="n">
        <f aca="false">Data!E8*100000</f>
        <v>1000000</v>
      </c>
    </row>
    <row r="9" customFormat="false" ht="15" hidden="false" customHeight="false" outlineLevel="0" collapsed="false">
      <c r="A9" s="2" t="s">
        <v>34</v>
      </c>
      <c r="B9" s="14" t="n">
        <f aca="false">Data!D9</f>
        <v>8000</v>
      </c>
      <c r="C9" s="14" t="n">
        <f aca="false">Data!B26</f>
        <v>98</v>
      </c>
      <c r="D9" s="14" t="n">
        <f aca="false">Data!C26</f>
        <v>84</v>
      </c>
      <c r="E9" s="14" t="n">
        <f aca="false">Data!D26</f>
        <v>60</v>
      </c>
      <c r="F9" s="14" t="n">
        <f aca="false">Data!E26</f>
        <v>73</v>
      </c>
      <c r="G9" s="16" t="n">
        <v>1</v>
      </c>
      <c r="H9" s="14" t="n">
        <f aca="false">Data!E9*100000</f>
        <v>1400000</v>
      </c>
    </row>
    <row r="10" customFormat="false" ht="15" hidden="false" customHeight="false" outlineLevel="0" collapsed="false">
      <c r="A10" s="2" t="s">
        <v>35</v>
      </c>
      <c r="B10" s="14" t="n">
        <f aca="false">Data!D10</f>
        <v>5500</v>
      </c>
      <c r="C10" s="14" t="n">
        <f aca="false">Data!B27</f>
        <v>82</v>
      </c>
      <c r="D10" s="14" t="n">
        <f aca="false">Data!C27</f>
        <v>75</v>
      </c>
      <c r="E10" s="14" t="n">
        <f aca="false">Data!D27</f>
        <v>78</v>
      </c>
      <c r="F10" s="14" t="n">
        <f aca="false">Data!E27</f>
        <v>65</v>
      </c>
      <c r="G10" s="16" t="n">
        <v>1</v>
      </c>
      <c r="H10" s="14" t="n">
        <f aca="false">Data!E10*100000</f>
        <v>900000</v>
      </c>
    </row>
    <row r="11" customFormat="false" ht="15" hidden="false" customHeight="false" outlineLevel="0" collapsed="false">
      <c r="A11" s="2" t="s">
        <v>36</v>
      </c>
      <c r="B11" s="14" t="n">
        <f aca="false">Data!D11</f>
        <v>7500</v>
      </c>
      <c r="C11" s="14" t="n">
        <f aca="false">Data!B28</f>
        <v>76</v>
      </c>
      <c r="D11" s="14" t="n">
        <f aca="false">Data!C28</f>
        <v>69</v>
      </c>
      <c r="E11" s="14" t="n">
        <f aca="false">Data!D28</f>
        <v>71</v>
      </c>
      <c r="F11" s="14" t="n">
        <f aca="false">Data!E28</f>
        <v>68</v>
      </c>
      <c r="G11" s="16" t="n">
        <v>1</v>
      </c>
      <c r="H11" s="14" t="n">
        <f aca="false">Data!E11*100000</f>
        <v>1300000</v>
      </c>
    </row>
    <row r="13" customFormat="false" ht="15" hidden="false" customHeight="true" outlineLevel="0" collapsed="false">
      <c r="A13" s="8" t="s">
        <v>85</v>
      </c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A14" s="9" t="s">
        <v>47</v>
      </c>
      <c r="B14" s="9" t="s">
        <v>42</v>
      </c>
      <c r="C14" s="9" t="s">
        <v>43</v>
      </c>
      <c r="D14" s="9" t="s">
        <v>44</v>
      </c>
      <c r="E14" s="9" t="s">
        <v>45</v>
      </c>
      <c r="F14" s="9" t="s">
        <v>86</v>
      </c>
      <c r="G14" s="9" t="s">
        <v>80</v>
      </c>
      <c r="H14" s="9" t="s">
        <v>87</v>
      </c>
    </row>
    <row r="15" customFormat="false" ht="15" hidden="false" customHeight="false" outlineLevel="0" collapsed="false">
      <c r="A15" s="2" t="s">
        <v>48</v>
      </c>
      <c r="B15" s="17" t="n">
        <v>9000</v>
      </c>
      <c r="C15" s="17" t="n">
        <v>7500</v>
      </c>
      <c r="D15" s="17" t="n">
        <v>0</v>
      </c>
      <c r="E15" s="17" t="n">
        <v>0</v>
      </c>
      <c r="F15" s="14" t="n">
        <f aca="false">SUM(B15:E15)</f>
        <v>16500</v>
      </c>
      <c r="G15" s="14" t="n">
        <f aca="false">B5</f>
        <v>28000</v>
      </c>
      <c r="H15" s="14" t="n">
        <f aca="false">G15-F15</f>
        <v>11500</v>
      </c>
    </row>
    <row r="16" customFormat="false" ht="15" hidden="false" customHeight="false" outlineLevel="0" collapsed="false">
      <c r="A16" s="2" t="s">
        <v>49</v>
      </c>
      <c r="B16" s="17" t="n">
        <v>0</v>
      </c>
      <c r="C16" s="17" t="n">
        <v>0</v>
      </c>
      <c r="D16" s="17" t="n">
        <v>10000</v>
      </c>
      <c r="E16" s="17" t="n">
        <v>6500</v>
      </c>
      <c r="F16" s="14" t="n">
        <f aca="false">SUM(B16:E16)</f>
        <v>16500</v>
      </c>
      <c r="G16" s="14" t="n">
        <f aca="false">B6</f>
        <v>26000</v>
      </c>
      <c r="H16" s="14" t="n">
        <f aca="false">G16-F16</f>
        <v>9500</v>
      </c>
    </row>
    <row r="17" customFormat="false" ht="15" hidden="false" customHeight="false" outlineLevel="0" collapsed="false">
      <c r="A17" s="2" t="s">
        <v>31</v>
      </c>
      <c r="B17" s="17" t="n">
        <v>0</v>
      </c>
      <c r="C17" s="17" t="n">
        <v>0</v>
      </c>
      <c r="D17" s="17" t="n">
        <v>0</v>
      </c>
      <c r="E17" s="17" t="n">
        <v>0</v>
      </c>
      <c r="F17" s="14" t="n">
        <f aca="false">SUM(B17:E17)</f>
        <v>0</v>
      </c>
      <c r="G17" s="14" t="n">
        <f aca="false">B7</f>
        <v>7000</v>
      </c>
      <c r="H17" s="14" t="n">
        <f aca="false">G17-F17</f>
        <v>7000</v>
      </c>
    </row>
    <row r="18" customFormat="false" ht="15" hidden="false" customHeight="false" outlineLevel="0" collapsed="false">
      <c r="A18" s="2" t="s">
        <v>33</v>
      </c>
      <c r="B18" s="17" t="n">
        <v>0</v>
      </c>
      <c r="C18" s="17" t="n">
        <v>0</v>
      </c>
      <c r="D18" s="17" t="n">
        <v>0</v>
      </c>
      <c r="E18" s="17" t="n">
        <v>0</v>
      </c>
      <c r="F18" s="14" t="n">
        <f aca="false">SUM(B18:E18)</f>
        <v>0</v>
      </c>
      <c r="G18" s="14" t="n">
        <f aca="false">B8</f>
        <v>6500</v>
      </c>
      <c r="H18" s="14" t="n">
        <f aca="false">G18-F18</f>
        <v>6500</v>
      </c>
    </row>
    <row r="19" customFormat="false" ht="15" hidden="false" customHeight="false" outlineLevel="0" collapsed="false">
      <c r="A19" s="2" t="s">
        <v>34</v>
      </c>
      <c r="B19" s="17" t="n">
        <v>0</v>
      </c>
      <c r="C19" s="17" t="n">
        <v>0</v>
      </c>
      <c r="D19" s="17" t="n">
        <v>0</v>
      </c>
      <c r="E19" s="17" t="n">
        <v>0</v>
      </c>
      <c r="F19" s="14" t="n">
        <f aca="false">SUM(B19:E19)</f>
        <v>0</v>
      </c>
      <c r="G19" s="14" t="n">
        <f aca="false">B9</f>
        <v>8000</v>
      </c>
      <c r="H19" s="14" t="n">
        <f aca="false">G19-F19</f>
        <v>8000</v>
      </c>
    </row>
    <row r="20" customFormat="false" ht="15" hidden="false" customHeight="false" outlineLevel="0" collapsed="false">
      <c r="A20" s="2" t="s">
        <v>35</v>
      </c>
      <c r="B20" s="17" t="n">
        <v>0</v>
      </c>
      <c r="C20" s="17" t="n">
        <v>0</v>
      </c>
      <c r="D20" s="17" t="n">
        <v>0</v>
      </c>
      <c r="E20" s="17" t="n">
        <v>0</v>
      </c>
      <c r="F20" s="14" t="n">
        <f aca="false">SUM(B20:E20)</f>
        <v>0</v>
      </c>
      <c r="G20" s="14" t="n">
        <f aca="false">B10</f>
        <v>5500</v>
      </c>
      <c r="H20" s="14" t="n">
        <f aca="false">G20-F20</f>
        <v>5500</v>
      </c>
    </row>
    <row r="21" customFormat="false" ht="15" hidden="false" customHeight="false" outlineLevel="0" collapsed="false">
      <c r="A21" s="2" t="s">
        <v>36</v>
      </c>
      <c r="B21" s="17" t="n">
        <v>0</v>
      </c>
      <c r="C21" s="17" t="n">
        <v>0</v>
      </c>
      <c r="D21" s="17" t="n">
        <v>0</v>
      </c>
      <c r="E21" s="17" t="n">
        <v>0</v>
      </c>
      <c r="F21" s="14" t="n">
        <f aca="false">SUM(B21:E21)</f>
        <v>0</v>
      </c>
      <c r="G21" s="14" t="n">
        <f aca="false">B11</f>
        <v>7500</v>
      </c>
      <c r="H21" s="14" t="n">
        <f aca="false">G21-F21</f>
        <v>7500</v>
      </c>
    </row>
    <row r="23" customFormat="false" ht="15" hidden="false" customHeight="true" outlineLevel="0" collapsed="false">
      <c r="A23" s="8" t="s">
        <v>88</v>
      </c>
      <c r="B23" s="8"/>
      <c r="C23" s="8"/>
      <c r="D23" s="8"/>
      <c r="E23" s="8"/>
      <c r="F23" s="8"/>
      <c r="G23" s="8"/>
      <c r="H23" s="8"/>
    </row>
    <row r="24" customFormat="false" ht="35.05" hidden="false" customHeight="false" outlineLevel="0" collapsed="false">
      <c r="A24" s="9" t="s">
        <v>38</v>
      </c>
      <c r="B24" s="9" t="s">
        <v>89</v>
      </c>
      <c r="C24" s="9" t="s">
        <v>90</v>
      </c>
      <c r="D24" s="9" t="s">
        <v>91</v>
      </c>
      <c r="E24" s="9" t="s">
        <v>92</v>
      </c>
    </row>
    <row r="25" customFormat="false" ht="15" hidden="false" customHeight="false" outlineLevel="0" collapsed="false">
      <c r="A25" s="2" t="s">
        <v>42</v>
      </c>
      <c r="B25" s="14" t="n">
        <f aca="false">Data!B15</f>
        <v>9000</v>
      </c>
      <c r="C25" s="14" t="n">
        <f aca="false">SUM(B15:B21)</f>
        <v>9000</v>
      </c>
      <c r="D25" s="14" t="n">
        <f aca="false">MAX(0,B25-C25)</f>
        <v>0</v>
      </c>
      <c r="E25" s="18" t="n">
        <f aca="false">1-D25/B25</f>
        <v>1</v>
      </c>
    </row>
    <row r="26" customFormat="false" ht="15" hidden="false" customHeight="false" outlineLevel="0" collapsed="false">
      <c r="A26" s="2" t="s">
        <v>43</v>
      </c>
      <c r="B26" s="14" t="n">
        <f aca="false">Data!B16</f>
        <v>7500</v>
      </c>
      <c r="C26" s="14" t="n">
        <f aca="false">SUM(C15:C21)</f>
        <v>7500</v>
      </c>
      <c r="D26" s="14" t="n">
        <f aca="false">MAX(0,B26-C26)</f>
        <v>0</v>
      </c>
      <c r="E26" s="18" t="n">
        <f aca="false">1-D26/B26</f>
        <v>1</v>
      </c>
    </row>
    <row r="27" customFormat="false" ht="15" hidden="false" customHeight="false" outlineLevel="0" collapsed="false">
      <c r="A27" s="2" t="s">
        <v>44</v>
      </c>
      <c r="B27" s="14" t="n">
        <f aca="false">Data!B17</f>
        <v>10000</v>
      </c>
      <c r="C27" s="14" t="n">
        <f aca="false">SUM(D15:D21)</f>
        <v>10000</v>
      </c>
      <c r="D27" s="14" t="n">
        <f aca="false">MAX(0,B27-C27)</f>
        <v>0</v>
      </c>
      <c r="E27" s="18" t="n">
        <f aca="false">1-D27/B27</f>
        <v>1</v>
      </c>
    </row>
    <row r="28" customFormat="false" ht="15" hidden="false" customHeight="false" outlineLevel="0" collapsed="false">
      <c r="A28" s="2" t="s">
        <v>45</v>
      </c>
      <c r="B28" s="14" t="n">
        <f aca="false">Data!B18</f>
        <v>6500</v>
      </c>
      <c r="C28" s="14" t="n">
        <f aca="false">SUM(E15:E21)</f>
        <v>6500</v>
      </c>
      <c r="D28" s="14" t="n">
        <f aca="false">MAX(0,B28-C28)</f>
        <v>0</v>
      </c>
      <c r="E28" s="18" t="n">
        <f aca="false">1-D28/B28</f>
        <v>1</v>
      </c>
    </row>
    <row r="30" customFormat="false" ht="15" hidden="false" customHeight="true" outlineLevel="0" collapsed="false">
      <c r="A30" s="8" t="s">
        <v>93</v>
      </c>
      <c r="B30" s="8"/>
      <c r="C30" s="8"/>
      <c r="D30" s="8"/>
      <c r="E30" s="8"/>
      <c r="F30" s="8"/>
      <c r="G30" s="8"/>
      <c r="H30" s="8"/>
    </row>
    <row r="31" customFormat="false" ht="35.05" hidden="false" customHeight="false" outlineLevel="0" collapsed="false">
      <c r="A31" s="9" t="s">
        <v>32</v>
      </c>
      <c r="B31" s="9" t="s">
        <v>94</v>
      </c>
      <c r="C31" s="9" t="s">
        <v>95</v>
      </c>
      <c r="D31" s="9" t="s">
        <v>96</v>
      </c>
      <c r="E31" s="9" t="s">
        <v>97</v>
      </c>
      <c r="F31" s="9" t="s">
        <v>98</v>
      </c>
      <c r="G31" s="9" t="s">
        <v>80</v>
      </c>
      <c r="H31" s="9" t="s">
        <v>96</v>
      </c>
    </row>
    <row r="32" customFormat="false" ht="15" hidden="false" customHeight="false" outlineLevel="0" collapsed="false">
      <c r="A32" s="2" t="s">
        <v>31</v>
      </c>
      <c r="B32" s="14" t="n">
        <f aca="false">F17</f>
        <v>0</v>
      </c>
      <c r="C32" s="14" t="n">
        <f aca="false">Data!$B$56*B7*G7</f>
        <v>2100</v>
      </c>
      <c r="D32" s="14" t="n">
        <f aca="false">C32-B32</f>
        <v>2100</v>
      </c>
      <c r="E32" s="14" t="n">
        <f aca="false">Data!C7</f>
        <v>5000</v>
      </c>
      <c r="F32" s="14" t="n">
        <f aca="false">E32+B32</f>
        <v>5000</v>
      </c>
      <c r="G32" s="14" t="n">
        <f aca="false">B7</f>
        <v>7000</v>
      </c>
      <c r="H32" s="14" t="n">
        <f aca="false">G32-F32</f>
        <v>2000</v>
      </c>
    </row>
    <row r="33" customFormat="false" ht="15" hidden="false" customHeight="false" outlineLevel="0" collapsed="false">
      <c r="A33" s="2" t="s">
        <v>33</v>
      </c>
      <c r="B33" s="14" t="n">
        <f aca="false">F18</f>
        <v>0</v>
      </c>
      <c r="C33" s="14" t="n">
        <f aca="false">Data!$B$56*B8*G8</f>
        <v>1950</v>
      </c>
      <c r="D33" s="14" t="n">
        <f aca="false">C33-B33</f>
        <v>1950</v>
      </c>
      <c r="E33" s="14" t="n">
        <f aca="false">Data!C8</f>
        <v>4500</v>
      </c>
      <c r="F33" s="14" t="n">
        <f aca="false">E33+B33</f>
        <v>4500</v>
      </c>
      <c r="G33" s="14" t="n">
        <f aca="false">B8</f>
        <v>6500</v>
      </c>
      <c r="H33" s="14" t="n">
        <f aca="false">G33-F33</f>
        <v>2000</v>
      </c>
    </row>
    <row r="34" customFormat="false" ht="15" hidden="false" customHeight="false" outlineLevel="0" collapsed="false">
      <c r="A34" s="2" t="s">
        <v>34</v>
      </c>
      <c r="B34" s="14" t="n">
        <f aca="false">F19</f>
        <v>0</v>
      </c>
      <c r="C34" s="14" t="n">
        <f aca="false">Data!$B$56*B9*G9</f>
        <v>2400</v>
      </c>
      <c r="D34" s="14" t="n">
        <f aca="false">C34-B34</f>
        <v>2400</v>
      </c>
      <c r="E34" s="14" t="n">
        <f aca="false">Data!C9</f>
        <v>6200</v>
      </c>
      <c r="F34" s="14" t="n">
        <f aca="false">E34+B34</f>
        <v>6200</v>
      </c>
      <c r="G34" s="14" t="n">
        <f aca="false">B9</f>
        <v>8000</v>
      </c>
      <c r="H34" s="14" t="n">
        <f aca="false">G34-F34</f>
        <v>1800</v>
      </c>
    </row>
    <row r="35" customFormat="false" ht="15" hidden="false" customHeight="false" outlineLevel="0" collapsed="false">
      <c r="A35" s="2" t="s">
        <v>35</v>
      </c>
      <c r="B35" s="14" t="n">
        <f aca="false">F20</f>
        <v>0</v>
      </c>
      <c r="C35" s="14" t="n">
        <f aca="false">Data!$B$56*B10*G10</f>
        <v>1650</v>
      </c>
      <c r="D35" s="14" t="n">
        <f aca="false">C35-B35</f>
        <v>1650</v>
      </c>
      <c r="E35" s="14" t="n">
        <f aca="false">Data!C10</f>
        <v>3800</v>
      </c>
      <c r="F35" s="14" t="n">
        <f aca="false">E35+B35</f>
        <v>3800</v>
      </c>
      <c r="G35" s="14" t="n">
        <f aca="false">B10</f>
        <v>5500</v>
      </c>
      <c r="H35" s="14" t="n">
        <f aca="false">G35-F35</f>
        <v>1700</v>
      </c>
    </row>
    <row r="36" customFormat="false" ht="15" hidden="false" customHeight="false" outlineLevel="0" collapsed="false">
      <c r="A36" s="2" t="s">
        <v>36</v>
      </c>
      <c r="B36" s="14" t="n">
        <f aca="false">F21</f>
        <v>0</v>
      </c>
      <c r="C36" s="14" t="n">
        <f aca="false">Data!$B$56*B11*G11</f>
        <v>2250</v>
      </c>
      <c r="D36" s="14" t="n">
        <f aca="false">C36-B36</f>
        <v>2250</v>
      </c>
      <c r="E36" s="14" t="n">
        <f aca="false">Data!C11</f>
        <v>5500</v>
      </c>
      <c r="F36" s="14" t="n">
        <f aca="false">E36+B36</f>
        <v>5500</v>
      </c>
      <c r="G36" s="14" t="n">
        <f aca="false">B11</f>
        <v>7500</v>
      </c>
      <c r="H36" s="14" t="n">
        <f aca="false">G36-F36</f>
        <v>2000</v>
      </c>
    </row>
    <row r="38" customFormat="false" ht="15" hidden="false" customHeight="true" outlineLevel="0" collapsed="false">
      <c r="A38" s="8" t="s">
        <v>99</v>
      </c>
      <c r="B38" s="8"/>
      <c r="C38" s="8"/>
      <c r="D38" s="8"/>
      <c r="E38" s="8"/>
      <c r="F38" s="8"/>
      <c r="G38" s="8"/>
      <c r="H38" s="8"/>
    </row>
    <row r="39" customFormat="false" ht="23.85" hidden="false" customHeight="false" outlineLevel="0" collapsed="false">
      <c r="A39" s="2" t="s">
        <v>100</v>
      </c>
      <c r="B39" s="14" t="n">
        <f aca="false">SUMPRODUCT(C5:C11,B15:B21)+SUMPRODUCT(D5:D11,C15:C21)+SUMPRODUCT(E5:E11,D15:D21)+SUMPRODUCT(F5:F11,E15:E21)</f>
        <v>2119000</v>
      </c>
    </row>
    <row r="40" customFormat="false" ht="35.05" hidden="false" customHeight="false" outlineLevel="0" collapsed="false">
      <c r="A40" s="2" t="s">
        <v>101</v>
      </c>
      <c r="B40" s="14" t="n">
        <f aca="false">SUM(D25:D28)*Data!B33</f>
        <v>0</v>
      </c>
    </row>
    <row r="41" customFormat="false" ht="35.05" hidden="false" customHeight="false" outlineLevel="0" collapsed="false">
      <c r="A41" s="19" t="s">
        <v>102</v>
      </c>
      <c r="B41" s="20" t="n">
        <f aca="false">B39+B40</f>
        <v>2119000</v>
      </c>
    </row>
    <row r="42" customFormat="false" ht="23.85" hidden="false" customHeight="false" outlineLevel="0" collapsed="false">
      <c r="A42" s="2" t="s">
        <v>103</v>
      </c>
      <c r="B42" s="18" t="n">
        <f aca="false">1-SUM(D25:D28)/SUM(B25:B28)</f>
        <v>1</v>
      </c>
    </row>
    <row r="44" customFormat="false" ht="15" hidden="false" customHeight="true" outlineLevel="0" collapsed="false">
      <c r="A44" s="8" t="s">
        <v>104</v>
      </c>
      <c r="B44" s="8"/>
      <c r="C44" s="8"/>
      <c r="D44" s="8"/>
      <c r="E44" s="8"/>
      <c r="F44" s="8"/>
      <c r="G44" s="8"/>
      <c r="H44" s="8"/>
    </row>
    <row r="45" customFormat="false" ht="15" hidden="false" customHeight="true" outlineLevel="0" collapsed="false">
      <c r="B45" s="21" t="s">
        <v>105</v>
      </c>
      <c r="C45" s="21"/>
      <c r="D45" s="21"/>
      <c r="E45" s="21"/>
      <c r="F45" s="21"/>
      <c r="G45" s="21"/>
      <c r="H45" s="21"/>
    </row>
    <row r="46" customFormat="false" ht="15" hidden="false" customHeight="true" outlineLevel="0" collapsed="false">
      <c r="B46" s="21" t="s">
        <v>106</v>
      </c>
      <c r="C46" s="21"/>
      <c r="D46" s="21"/>
      <c r="E46" s="21"/>
      <c r="F46" s="21"/>
      <c r="G46" s="21"/>
      <c r="H46" s="21"/>
    </row>
    <row r="47" customFormat="false" ht="15" hidden="false" customHeight="true" outlineLevel="0" collapsed="false">
      <c r="B47" s="21" t="s">
        <v>107</v>
      </c>
      <c r="C47" s="21"/>
      <c r="D47" s="21"/>
      <c r="E47" s="21"/>
      <c r="F47" s="21"/>
      <c r="G47" s="21"/>
      <c r="H47" s="21"/>
    </row>
    <row r="48" customFormat="false" ht="15" hidden="false" customHeight="true" outlineLevel="0" collapsed="false">
      <c r="B48" s="21" t="s">
        <v>108</v>
      </c>
      <c r="C48" s="21"/>
      <c r="D48" s="21"/>
      <c r="E48" s="21"/>
      <c r="F48" s="21"/>
      <c r="G48" s="21"/>
      <c r="H48" s="21"/>
    </row>
    <row r="49" customFormat="false" ht="15" hidden="false" customHeight="true" outlineLevel="0" collapsed="false">
      <c r="B49" s="21" t="s">
        <v>109</v>
      </c>
      <c r="C49" s="21"/>
      <c r="D49" s="21"/>
      <c r="E49" s="21"/>
      <c r="F49" s="21"/>
      <c r="G49" s="21"/>
      <c r="H49" s="21"/>
    </row>
    <row r="50" customFormat="false" ht="15" hidden="false" customHeight="true" outlineLevel="0" collapsed="false">
      <c r="B50" s="21" t="s">
        <v>110</v>
      </c>
      <c r="C50" s="21"/>
      <c r="D50" s="21"/>
      <c r="E50" s="21"/>
      <c r="F50" s="21"/>
      <c r="G50" s="21"/>
      <c r="H50" s="21"/>
    </row>
    <row r="51" customFormat="false" ht="15" hidden="false" customHeight="true" outlineLevel="0" collapsed="false">
      <c r="B51" s="21" t="s">
        <v>111</v>
      </c>
      <c r="C51" s="21"/>
      <c r="D51" s="21"/>
      <c r="E51" s="21"/>
      <c r="F51" s="21"/>
      <c r="G51" s="21"/>
      <c r="H51" s="21"/>
    </row>
    <row r="52" customFormat="false" ht="15" hidden="false" customHeight="true" outlineLevel="0" collapsed="false">
      <c r="B52" s="21" t="s">
        <v>112</v>
      </c>
      <c r="C52" s="21"/>
      <c r="D52" s="21"/>
      <c r="E52" s="21"/>
      <c r="F52" s="21"/>
      <c r="G52" s="21"/>
      <c r="H52" s="21"/>
    </row>
    <row r="53" customFormat="false" ht="15" hidden="false" customHeight="true" outlineLevel="0" collapsed="false">
      <c r="B53" s="21" t="s">
        <v>113</v>
      </c>
      <c r="C53" s="21"/>
      <c r="D53" s="21"/>
      <c r="E53" s="21"/>
      <c r="F53" s="21"/>
      <c r="G53" s="21"/>
      <c r="H53" s="21"/>
    </row>
  </sheetData>
  <mergeCells count="16">
    <mergeCell ref="A1:H1"/>
    <mergeCell ref="A3:H3"/>
    <mergeCell ref="A13:H13"/>
    <mergeCell ref="A23:H23"/>
    <mergeCell ref="A30:H30"/>
    <mergeCell ref="A38:H38"/>
    <mergeCell ref="A44:H44"/>
    <mergeCell ref="B45:H45"/>
    <mergeCell ref="B46:H46"/>
    <mergeCell ref="B47:H47"/>
    <mergeCell ref="B48:H48"/>
    <mergeCell ref="B49:H49"/>
    <mergeCell ref="B50:H50"/>
    <mergeCell ref="B51:H51"/>
    <mergeCell ref="B52:H52"/>
    <mergeCell ref="B53:H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4" min="3" style="0" width="2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60"/>
  </cols>
  <sheetData>
    <row r="1" customFormat="false" ht="21.75" hidden="false" customHeight="true" outlineLevel="0" collapsed="false">
      <c r="A1" s="1" t="s">
        <v>114</v>
      </c>
      <c r="B1" s="1"/>
      <c r="C1" s="1"/>
      <c r="D1" s="1"/>
      <c r="E1" s="1"/>
      <c r="F1" s="1"/>
      <c r="G1" s="1"/>
    </row>
    <row r="3" customFormat="false" ht="15" hidden="false" customHeight="true" outlineLevel="0" collapsed="false">
      <c r="B3" s="21" t="s">
        <v>115</v>
      </c>
      <c r="C3" s="21"/>
      <c r="D3" s="21"/>
      <c r="E3" s="21"/>
      <c r="F3" s="21"/>
      <c r="G3" s="21"/>
    </row>
    <row r="5" customFormat="false" ht="35.05" hidden="false" customHeight="true" outlineLevel="0" collapsed="false">
      <c r="A5" s="2" t="s">
        <v>116</v>
      </c>
      <c r="B5" s="2"/>
      <c r="C5" s="22" t="n">
        <v>2119000</v>
      </c>
    </row>
    <row r="7" customFormat="false" ht="35.05" hidden="false" customHeight="false" outlineLevel="0" collapsed="false">
      <c r="A7" s="9" t="s">
        <v>32</v>
      </c>
      <c r="B7" s="9" t="s">
        <v>25</v>
      </c>
      <c r="C7" s="9" t="s">
        <v>80</v>
      </c>
      <c r="D7" s="9" t="s">
        <v>82</v>
      </c>
      <c r="E7" s="9" t="s">
        <v>117</v>
      </c>
      <c r="F7" s="9" t="s">
        <v>118</v>
      </c>
      <c r="G7" s="9" t="s">
        <v>119</v>
      </c>
    </row>
    <row r="8" customFormat="false" ht="15" hidden="false" customHeight="false" outlineLevel="0" collapsed="false">
      <c r="A8" s="2" t="s">
        <v>31</v>
      </c>
      <c r="B8" s="14" t="n">
        <f aca="false">Data!C7</f>
        <v>5000</v>
      </c>
      <c r="C8" s="14" t="n">
        <f aca="false">Data!D7</f>
        <v>7000</v>
      </c>
      <c r="D8" s="14" t="n">
        <f aca="false">Data!E7*100000</f>
        <v>1200000</v>
      </c>
      <c r="E8" s="11" t="n">
        <v>4000</v>
      </c>
      <c r="F8" s="23" t="n">
        <f aca="false">IF(E8&gt;0,D8/E8,"n/a")</f>
        <v>300</v>
      </c>
      <c r="G8" s="5" t="str">
        <f aca="false">IF(F8="n/a","No standalone case",IF(F8&lt;=E14,"Enable - pays back","Marginal on cost alone"))</f>
        <v>Marginal on cost alone</v>
      </c>
    </row>
    <row r="9" customFormat="false" ht="15" hidden="false" customHeight="false" outlineLevel="0" collapsed="false">
      <c r="A9" s="2" t="s">
        <v>33</v>
      </c>
      <c r="B9" s="14" t="n">
        <f aca="false">Data!C8</f>
        <v>4500</v>
      </c>
      <c r="C9" s="14" t="n">
        <f aca="false">Data!D8</f>
        <v>6500</v>
      </c>
      <c r="D9" s="14" t="n">
        <f aca="false">Data!E8*100000</f>
        <v>1000000</v>
      </c>
      <c r="E9" s="11" t="n">
        <v>21450</v>
      </c>
      <c r="F9" s="23" t="n">
        <f aca="false">IF(E9&gt;0,D9/E9,"n/a")</f>
        <v>46.6200466200466</v>
      </c>
      <c r="G9" s="5" t="str">
        <f aca="false">IF(F9="n/a","No standalone case",IF(F9&lt;=E14,"Enable - pays back","Marginal on cost alone"))</f>
        <v>Enable - pays back</v>
      </c>
    </row>
    <row r="10" customFormat="false" ht="15" hidden="false" customHeight="false" outlineLevel="0" collapsed="false">
      <c r="A10" s="2" t="s">
        <v>34</v>
      </c>
      <c r="B10" s="14" t="n">
        <f aca="false">Data!C9</f>
        <v>6200</v>
      </c>
      <c r="C10" s="14" t="n">
        <f aca="false">Data!D9</f>
        <v>8000</v>
      </c>
      <c r="D10" s="14" t="n">
        <f aca="false">Data!E9*100000</f>
        <v>1400000</v>
      </c>
      <c r="E10" s="11" t="n">
        <v>9000</v>
      </c>
      <c r="F10" s="23" t="n">
        <f aca="false">IF(E10&gt;0,D10/E10,"n/a")</f>
        <v>155.555555555556</v>
      </c>
      <c r="G10" s="5" t="str">
        <f aca="false">IF(F10="n/a","No standalone case",IF(F10&lt;=E14,"Enable - pays back","Marginal on cost alone"))</f>
        <v>Marginal on cost alone</v>
      </c>
    </row>
    <row r="11" customFormat="false" ht="15" hidden="false" customHeight="false" outlineLevel="0" collapsed="false">
      <c r="A11" s="2" t="s">
        <v>35</v>
      </c>
      <c r="B11" s="14" t="n">
        <f aca="false">Data!C10</f>
        <v>3800</v>
      </c>
      <c r="C11" s="14" t="n">
        <f aca="false">Data!D10</f>
        <v>5500</v>
      </c>
      <c r="D11" s="14" t="n">
        <f aca="false">Data!E10*100000</f>
        <v>900000</v>
      </c>
      <c r="E11" s="11" t="n">
        <v>21450</v>
      </c>
      <c r="F11" s="23" t="n">
        <f aca="false">IF(E11&gt;0,D11/E11,"n/a")</f>
        <v>41.958041958042</v>
      </c>
      <c r="G11" s="5" t="str">
        <f aca="false">IF(F11="n/a","No standalone case",IF(F11&lt;=E14,"Enable - pays back","Marginal on cost alone"))</f>
        <v>Enable - pays back</v>
      </c>
    </row>
    <row r="12" customFormat="false" ht="15" hidden="false" customHeight="false" outlineLevel="0" collapsed="false">
      <c r="A12" s="2" t="s">
        <v>36</v>
      </c>
      <c r="B12" s="14" t="n">
        <f aca="false">Data!C11</f>
        <v>5500</v>
      </c>
      <c r="C12" s="14" t="n">
        <f aca="false">Data!D11</f>
        <v>7500</v>
      </c>
      <c r="D12" s="14" t="n">
        <f aca="false">Data!E11*100000</f>
        <v>1300000</v>
      </c>
      <c r="E12" s="11" t="n">
        <v>20000</v>
      </c>
      <c r="F12" s="23" t="n">
        <f aca="false">IF(E12&gt;0,D12/E12,"n/a")</f>
        <v>65</v>
      </c>
      <c r="G12" s="5" t="str">
        <f aca="false">IF(F12="n/a","No standalone case",IF(F12&lt;=E14,"Enable - pays back","Marginal on cost alone"))</f>
        <v>Marginal on cost alone</v>
      </c>
    </row>
    <row r="14" customFormat="false" ht="15" hidden="false" customHeight="true" outlineLevel="0" collapsed="false">
      <c r="A14" s="2" t="s">
        <v>120</v>
      </c>
      <c r="B14" s="2"/>
      <c r="C14" s="2"/>
      <c r="D14" s="2"/>
      <c r="E14" s="24" t="n">
        <v>48</v>
      </c>
    </row>
    <row r="15" customFormat="false" ht="22.35" hidden="false" customHeight="true" outlineLevel="0" collapsed="false">
      <c r="B15" s="21" t="s">
        <v>121</v>
      </c>
      <c r="C15" s="21"/>
      <c r="D15" s="21"/>
      <c r="E15" s="21"/>
      <c r="F15" s="21"/>
      <c r="G15" s="21"/>
    </row>
  </sheetData>
  <mergeCells count="5">
    <mergeCell ref="A1:G1"/>
    <mergeCell ref="B3:G3"/>
    <mergeCell ref="A5:B5"/>
    <mergeCell ref="A14:D14"/>
    <mergeCell ref="B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2"/>
  </cols>
  <sheetData>
    <row r="1" customFormat="false" ht="21.75" hidden="false" customHeight="true" outlineLevel="0" collapsed="false">
      <c r="A1" s="1" t="s">
        <v>122</v>
      </c>
      <c r="B1" s="1"/>
      <c r="C1" s="1"/>
      <c r="D1" s="1"/>
    </row>
    <row r="3" customFormat="false" ht="22.35" hidden="false" customHeight="true" outlineLevel="0" collapsed="false">
      <c r="B3" s="21" t="s">
        <v>123</v>
      </c>
      <c r="C3" s="21"/>
      <c r="D3" s="21"/>
    </row>
    <row r="5" customFormat="false" ht="35.05" hidden="false" customHeight="false" outlineLevel="0" collapsed="false">
      <c r="A5" s="9" t="s">
        <v>124</v>
      </c>
      <c r="B5" s="9" t="s">
        <v>125</v>
      </c>
      <c r="C5" s="9" t="s">
        <v>126</v>
      </c>
      <c r="D5" s="9" t="s">
        <v>127</v>
      </c>
    </row>
    <row r="6" customFormat="false" ht="35.05" hidden="false" customHeight="false" outlineLevel="0" collapsed="false">
      <c r="A6" s="2" t="s">
        <v>128</v>
      </c>
      <c r="B6" s="25" t="s">
        <v>129</v>
      </c>
      <c r="C6" s="25" t="s">
        <v>130</v>
      </c>
      <c r="D6" s="25" t="s">
        <v>131</v>
      </c>
    </row>
    <row r="7" customFormat="false" ht="15" hidden="false" customHeight="false" outlineLevel="0" collapsed="false">
      <c r="A7" s="2" t="s">
        <v>100</v>
      </c>
      <c r="B7" s="26" t="n">
        <v>2119000</v>
      </c>
      <c r="C7" s="26" t="n">
        <v>2119000</v>
      </c>
      <c r="D7" s="26" t="n">
        <v>2041900</v>
      </c>
    </row>
    <row r="8" customFormat="false" ht="15" hidden="false" customHeight="false" outlineLevel="0" collapsed="false">
      <c r="A8" s="2" t="s">
        <v>132</v>
      </c>
      <c r="B8" s="27" t="n">
        <v>0</v>
      </c>
      <c r="C8" s="27" t="n">
        <v>0</v>
      </c>
      <c r="D8" s="26" t="n">
        <v>77100</v>
      </c>
    </row>
    <row r="9" customFormat="false" ht="15" hidden="false" customHeight="false" outlineLevel="0" collapsed="false">
      <c r="A9" s="2" t="s">
        <v>133</v>
      </c>
      <c r="B9" s="27" t="n">
        <v>0</v>
      </c>
      <c r="C9" s="27" t="n">
        <v>0</v>
      </c>
      <c r="D9" s="27" t="n">
        <v>0</v>
      </c>
    </row>
    <row r="10" customFormat="false" ht="15" hidden="false" customHeight="false" outlineLevel="0" collapsed="false">
      <c r="A10" s="2" t="s">
        <v>134</v>
      </c>
      <c r="B10" s="28" t="n">
        <v>1</v>
      </c>
      <c r="C10" s="28" t="n">
        <v>1</v>
      </c>
      <c r="D10" s="28" t="n">
        <v>1</v>
      </c>
    </row>
    <row r="11" customFormat="false" ht="23.85" hidden="false" customHeight="false" outlineLevel="0" collapsed="false">
      <c r="A11" s="2" t="s">
        <v>135</v>
      </c>
      <c r="B11" s="27" t="n">
        <v>0</v>
      </c>
      <c r="C11" s="27" t="n">
        <v>0</v>
      </c>
      <c r="D11" s="26" t="n">
        <v>483333</v>
      </c>
    </row>
    <row r="12" customFormat="false" ht="15" hidden="false" customHeight="false" outlineLevel="0" collapsed="false">
      <c r="A12" s="2" t="s">
        <v>136</v>
      </c>
      <c r="B12" s="27" t="n">
        <v>0</v>
      </c>
      <c r="C12" s="27" t="n">
        <v>0</v>
      </c>
      <c r="D12" s="26" t="n">
        <v>9500</v>
      </c>
    </row>
    <row r="13" customFormat="false" ht="23.85" hidden="false" customHeight="false" outlineLevel="0" collapsed="false">
      <c r="A13" s="2" t="s">
        <v>137</v>
      </c>
      <c r="B13" s="26" t="n">
        <v>15500</v>
      </c>
      <c r="C13" s="26" t="n">
        <v>15500</v>
      </c>
      <c r="D13" s="26" t="n">
        <v>6000</v>
      </c>
    </row>
    <row r="15" customFormat="false" ht="15" hidden="false" customHeight="true" outlineLevel="0" collapsed="false">
      <c r="A15" s="8" t="s">
        <v>138</v>
      </c>
      <c r="B15" s="8"/>
      <c r="C15" s="8"/>
      <c r="D15" s="8"/>
    </row>
    <row r="16" customFormat="false" ht="45" hidden="false" customHeight="true" outlineLevel="0" collapsed="false">
      <c r="B16" s="3" t="s">
        <v>139</v>
      </c>
      <c r="C16" s="3"/>
      <c r="D16" s="3"/>
    </row>
  </sheetData>
  <mergeCells count="4">
    <mergeCell ref="A1:D1"/>
    <mergeCell ref="B3:D3"/>
    <mergeCell ref="A15:D15"/>
    <mergeCell ref="B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20"/>
  </cols>
  <sheetData>
    <row r="1" customFormat="false" ht="21.75" hidden="false" customHeight="true" outlineLevel="0" collapsed="false">
      <c r="A1" s="1" t="s">
        <v>140</v>
      </c>
      <c r="B1" s="1"/>
      <c r="C1" s="1"/>
      <c r="D1" s="1"/>
      <c r="E1" s="1"/>
    </row>
    <row r="3" customFormat="false" ht="22.35" hidden="false" customHeight="true" outlineLevel="0" collapsed="false">
      <c r="B3" s="21" t="s">
        <v>141</v>
      </c>
      <c r="C3" s="21"/>
      <c r="D3" s="21"/>
      <c r="E3" s="21"/>
    </row>
    <row r="5" customFormat="false" ht="15" hidden="false" customHeight="false" outlineLevel="0" collapsed="false">
      <c r="A5" s="9" t="s">
        <v>142</v>
      </c>
      <c r="B5" s="9" t="s">
        <v>143</v>
      </c>
      <c r="C5" s="9" t="s">
        <v>144</v>
      </c>
      <c r="D5" s="9" t="s">
        <v>145</v>
      </c>
    </row>
    <row r="6" customFormat="false" ht="23.85" hidden="false" customHeight="false" outlineLevel="0" collapsed="false">
      <c r="A6" s="2" t="s">
        <v>100</v>
      </c>
      <c r="B6" s="26" t="n">
        <v>2043100</v>
      </c>
      <c r="C6" s="26" t="n">
        <v>2041900</v>
      </c>
      <c r="D6" s="26" t="n">
        <v>2041900</v>
      </c>
    </row>
    <row r="7" customFormat="false" ht="23.85" hidden="false" customHeight="false" outlineLevel="0" collapsed="false">
      <c r="A7" s="2" t="s">
        <v>132</v>
      </c>
      <c r="B7" s="26" t="n">
        <v>75900</v>
      </c>
      <c r="C7" s="26" t="n">
        <v>77100</v>
      </c>
      <c r="D7" s="26" t="n">
        <v>77100</v>
      </c>
    </row>
    <row r="8" customFormat="false" ht="15" hidden="false" customHeight="false" outlineLevel="0" collapsed="false">
      <c r="A8" s="2" t="s">
        <v>134</v>
      </c>
      <c r="B8" s="28" t="n">
        <v>1</v>
      </c>
      <c r="C8" s="28" t="n">
        <v>1</v>
      </c>
      <c r="D8" s="28" t="n">
        <v>1</v>
      </c>
    </row>
    <row r="9" customFormat="false" ht="23.85" hidden="false" customHeight="false" outlineLevel="0" collapsed="false">
      <c r="A9" s="2" t="s">
        <v>146</v>
      </c>
      <c r="B9" s="26" t="n">
        <v>10350</v>
      </c>
      <c r="C9" s="26" t="n">
        <v>13800</v>
      </c>
      <c r="D9" s="26" t="n">
        <v>17250</v>
      </c>
    </row>
    <row r="10" customFormat="false" ht="23.85" hidden="false" customHeight="false" outlineLevel="0" collapsed="false">
      <c r="A10" s="2" t="s">
        <v>147</v>
      </c>
      <c r="B10" s="26" t="n">
        <v>9500</v>
      </c>
      <c r="C10" s="26" t="n">
        <v>9500</v>
      </c>
      <c r="D10" s="26" t="n">
        <v>9500</v>
      </c>
    </row>
    <row r="11" customFormat="false" ht="23.85" hidden="false" customHeight="false" outlineLevel="0" collapsed="false">
      <c r="A11" s="2" t="s">
        <v>148</v>
      </c>
      <c r="B11" s="26" t="n">
        <v>9500</v>
      </c>
      <c r="C11" s="26" t="n">
        <v>9500</v>
      </c>
      <c r="D11" s="26" t="n">
        <v>9500</v>
      </c>
    </row>
    <row r="14" customFormat="false" ht="15" hidden="false" customHeight="true" outlineLevel="0" collapsed="false">
      <c r="A14" s="8" t="s">
        <v>149</v>
      </c>
      <c r="B14" s="8"/>
      <c r="C14" s="8"/>
      <c r="D14" s="8"/>
      <c r="E14" s="8"/>
    </row>
    <row r="15" customFormat="false" ht="79.5" hidden="false" customHeight="true" outlineLevel="0" collapsed="false">
      <c r="B15" s="3" t="s">
        <v>150</v>
      </c>
      <c r="C15" s="3"/>
      <c r="D15" s="3"/>
      <c r="E15" s="3"/>
    </row>
  </sheetData>
  <mergeCells count="4">
    <mergeCell ref="A1:E1"/>
    <mergeCell ref="B3:E3"/>
    <mergeCell ref="A14:E14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6"/>
  </cols>
  <sheetData>
    <row r="1" customFormat="false" ht="21.75" hidden="false" customHeight="true" outlineLevel="0" collapsed="false">
      <c r="A1" s="1" t="s">
        <v>151</v>
      </c>
      <c r="B1" s="1"/>
      <c r="C1" s="1"/>
      <c r="D1" s="1"/>
      <c r="E1" s="1"/>
      <c r="F1" s="1"/>
    </row>
    <row r="3" customFormat="false" ht="32.8" hidden="false" customHeight="true" outlineLevel="0" collapsed="false">
      <c r="B3" s="21" t="s">
        <v>152</v>
      </c>
      <c r="C3" s="21"/>
      <c r="D3" s="21"/>
      <c r="E3" s="21"/>
      <c r="F3" s="21"/>
    </row>
    <row r="5" customFormat="false" ht="23.85" hidden="false" customHeight="false" outlineLevel="0" collapsed="false">
      <c r="A5" s="9" t="s">
        <v>153</v>
      </c>
      <c r="B5" s="9" t="s">
        <v>154</v>
      </c>
      <c r="C5" s="9" t="s">
        <v>155</v>
      </c>
      <c r="D5" s="9" t="s">
        <v>156</v>
      </c>
      <c r="E5" s="9" t="s">
        <v>157</v>
      </c>
      <c r="F5" s="9" t="s">
        <v>158</v>
      </c>
    </row>
    <row r="6" customFormat="false" ht="15" hidden="false" customHeight="false" outlineLevel="0" collapsed="false">
      <c r="A6" s="3" t="s">
        <v>159</v>
      </c>
      <c r="B6" s="12" t="n">
        <v>0.96</v>
      </c>
      <c r="C6" s="18" t="n">
        <f aca="false">'Baseline Model'!B42</f>
        <v>1</v>
      </c>
      <c r="D6" s="18" t="n">
        <f aca="false">MAX(0,B6-C6)</f>
        <v>0</v>
      </c>
      <c r="E6" s="18" t="n">
        <f aca="false">MAX(0,C6-B6)</f>
        <v>0.04</v>
      </c>
      <c r="F6" s="29" t="n">
        <v>100</v>
      </c>
    </row>
    <row r="7" customFormat="false" ht="23.85" hidden="false" customHeight="false" outlineLevel="0" collapsed="false">
      <c r="A7" s="3" t="s">
        <v>160</v>
      </c>
      <c r="B7" s="12" t="n">
        <v>0.3</v>
      </c>
      <c r="C7" s="18" t="n">
        <f aca="false">SUM('Baseline Model'!B32:B36)/SUM('Baseline Model'!G32:G36)</f>
        <v>0</v>
      </c>
      <c r="D7" s="18" t="n">
        <f aca="false">MAX(0,B7-C7)</f>
        <v>0.3</v>
      </c>
      <c r="E7" s="18" t="n">
        <f aca="false">MAX(0,C7-B7)</f>
        <v>0</v>
      </c>
      <c r="F7" s="29" t="n">
        <v>80</v>
      </c>
    </row>
    <row r="8" customFormat="false" ht="23.85" hidden="false" customHeight="false" outlineLevel="0" collapsed="false">
      <c r="A8" s="3" t="s">
        <v>161</v>
      </c>
      <c r="B8" s="11" t="n">
        <v>2150000</v>
      </c>
      <c r="C8" s="14" t="n">
        <f aca="false">'Baseline Model'!B41</f>
        <v>2119000</v>
      </c>
      <c r="D8" s="14" t="n">
        <f aca="false">MAX(0,B8-C8)</f>
        <v>31000</v>
      </c>
      <c r="E8" s="14" t="n">
        <f aca="false">MAX(0,C8-B8)</f>
        <v>0</v>
      </c>
      <c r="F8" s="29" t="n">
        <v>40</v>
      </c>
    </row>
    <row r="9" customFormat="false" ht="23.85" hidden="false" customHeight="false" outlineLevel="0" collapsed="false">
      <c r="A9" s="3" t="s">
        <v>162</v>
      </c>
      <c r="B9" s="12" t="n">
        <v>0.09</v>
      </c>
      <c r="C9" s="12" t="n">
        <v>0.09</v>
      </c>
      <c r="D9" s="18" t="n">
        <f aca="false">MAX(0,B9-C9)</f>
        <v>0</v>
      </c>
      <c r="E9" s="18" t="n">
        <f aca="false">MAX(0,C9-B9)</f>
        <v>0</v>
      </c>
      <c r="F9" s="29" t="n">
        <v>60</v>
      </c>
    </row>
    <row r="11" customFormat="false" ht="15" hidden="false" customHeight="true" outlineLevel="0" collapsed="false">
      <c r="A11" s="19" t="s">
        <v>163</v>
      </c>
      <c r="B11" s="19"/>
      <c r="C11" s="19"/>
      <c r="D11" s="19"/>
      <c r="E11" s="19"/>
      <c r="F11" s="30" t="n">
        <f aca="false">F6*(D6/B6) + F7*(E7/B7) + F8*(E8/B8) + F9*(E9/B9)</f>
        <v>0</v>
      </c>
    </row>
    <row r="13" customFormat="false" ht="15" hidden="false" customHeight="true" outlineLevel="0" collapsed="false">
      <c r="A13" s="8" t="s">
        <v>164</v>
      </c>
      <c r="B13" s="8"/>
      <c r="C13" s="8"/>
      <c r="D13" s="8"/>
      <c r="E13" s="8"/>
      <c r="F13" s="8"/>
    </row>
    <row r="14" customFormat="false" ht="27.75" hidden="false" customHeight="true" outlineLevel="0" collapsed="false">
      <c r="B14" s="21" t="s">
        <v>165</v>
      </c>
      <c r="C14" s="21"/>
      <c r="D14" s="21"/>
      <c r="E14" s="21"/>
      <c r="F14" s="21"/>
    </row>
    <row r="15" customFormat="false" ht="27.75" hidden="false" customHeight="true" outlineLevel="0" collapsed="false">
      <c r="B15" s="21" t="s">
        <v>166</v>
      </c>
      <c r="C15" s="21"/>
      <c r="D15" s="21"/>
      <c r="E15" s="21"/>
      <c r="F15" s="21"/>
    </row>
    <row r="16" customFormat="false" ht="27.75" hidden="false" customHeight="true" outlineLevel="0" collapsed="false">
      <c r="B16" s="21" t="s">
        <v>167</v>
      </c>
      <c r="C16" s="21"/>
      <c r="D16" s="21"/>
      <c r="E16" s="21"/>
      <c r="F16" s="21"/>
    </row>
  </sheetData>
  <mergeCells count="7">
    <mergeCell ref="A1:F1"/>
    <mergeCell ref="B3:F3"/>
    <mergeCell ref="A11:E11"/>
    <mergeCell ref="A13:F13"/>
    <mergeCell ref="B14:F14"/>
    <mergeCell ref="B15:F15"/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21.75" hidden="false" customHeight="true" outlineLevel="0" collapsed="false">
      <c r="A1" s="1" t="s">
        <v>168</v>
      </c>
      <c r="B1" s="1"/>
      <c r="C1" s="1"/>
    </row>
    <row r="3" customFormat="false" ht="43.5" hidden="false" customHeight="true" outlineLevel="0" collapsed="false">
      <c r="B3" s="21" t="s">
        <v>169</v>
      </c>
      <c r="C3" s="21"/>
    </row>
    <row r="5" customFormat="false" ht="15" hidden="false" customHeight="false" outlineLevel="0" collapsed="false">
      <c r="A5" s="9" t="s">
        <v>124</v>
      </c>
      <c r="B5" s="9" t="s">
        <v>170</v>
      </c>
      <c r="C5" s="9" t="s">
        <v>171</v>
      </c>
    </row>
    <row r="6" customFormat="false" ht="22.35" hidden="false" customHeight="false" outlineLevel="0" collapsed="false">
      <c r="A6" s="2" t="s">
        <v>172</v>
      </c>
      <c r="B6" s="18" t="n">
        <f aca="false">Data!B46*Data!C46+Data!B47*Data!C47+Data!B48*Data!C48</f>
        <v>0.155</v>
      </c>
      <c r="C6" s="21" t="s">
        <v>173</v>
      </c>
    </row>
    <row r="7" customFormat="false" ht="15" hidden="false" customHeight="false" outlineLevel="0" collapsed="false">
      <c r="A7" s="2" t="s">
        <v>174</v>
      </c>
      <c r="B7" s="18" t="n">
        <f aca="false">Data!B42*0.25</f>
        <v>0.0375</v>
      </c>
      <c r="C7" s="21" t="s">
        <v>175</v>
      </c>
    </row>
    <row r="8" customFormat="false" ht="23.85" hidden="false" customHeight="false" outlineLevel="0" collapsed="false">
      <c r="A8" s="2" t="s">
        <v>176</v>
      </c>
      <c r="B8" s="18" t="n">
        <f aca="false">Data!B52*Data!B51</f>
        <v>0.02</v>
      </c>
      <c r="C8" s="21" t="s">
        <v>177</v>
      </c>
    </row>
    <row r="9" customFormat="false" ht="23.85" hidden="false" customHeight="false" outlineLevel="0" collapsed="false">
      <c r="A9" s="2" t="s">
        <v>178</v>
      </c>
      <c r="B9" s="18" t="n">
        <f aca="false">Data!B54*Data!B53</f>
        <v>0.012</v>
      </c>
      <c r="C9" s="21" t="s">
        <v>179</v>
      </c>
    </row>
    <row r="11" customFormat="false" ht="15" hidden="false" customHeight="true" outlineLevel="0" collapsed="false">
      <c r="A11" s="8" t="s">
        <v>180</v>
      </c>
      <c r="B11" s="8"/>
      <c r="C11" s="8"/>
    </row>
    <row r="12" customFormat="false" ht="23.85" hidden="false" customHeight="false" outlineLevel="0" collapsed="false">
      <c r="A12" s="2" t="s">
        <v>181</v>
      </c>
      <c r="B12" s="14" t="n">
        <f aca="false">(Data!D5+Data!D6)*(1-B9)</f>
        <v>53352</v>
      </c>
    </row>
    <row r="13" customFormat="false" ht="23.85" hidden="false" customHeight="false" outlineLevel="0" collapsed="false">
      <c r="A13" s="2" t="s">
        <v>182</v>
      </c>
      <c r="B13" s="14" t="n">
        <f aca="false">SUM(Data!B15:B18)*(1+B7)</f>
        <v>34237.5</v>
      </c>
    </row>
    <row r="14" customFormat="false" ht="23.85" hidden="false" customHeight="false" outlineLevel="0" collapsed="false">
      <c r="A14" s="2" t="s">
        <v>183</v>
      </c>
      <c r="B14" s="14" t="n">
        <f aca="false">B12-B13</f>
        <v>19114.5</v>
      </c>
    </row>
    <row r="15" customFormat="false" ht="23.85" hidden="false" customHeight="false" outlineLevel="0" collapsed="false">
      <c r="A15" s="2" t="s">
        <v>184</v>
      </c>
      <c r="B15" s="14" t="n">
        <f aca="false">MAX(0,-B14)</f>
        <v>0</v>
      </c>
    </row>
    <row r="16" customFormat="false" ht="15" hidden="false" customHeight="false" outlineLevel="0" collapsed="false">
      <c r="A16" s="2" t="s">
        <v>185</v>
      </c>
      <c r="B16" s="14" t="n">
        <f aca="false">B15*Data!B33</f>
        <v>0</v>
      </c>
    </row>
    <row r="17" customFormat="false" ht="23.85" hidden="false" customHeight="false" outlineLevel="0" collapsed="false">
      <c r="A17" s="2" t="s">
        <v>186</v>
      </c>
      <c r="B17" s="14" t="n">
        <f aca="false">SUM(Data!B15:B18)*B6</f>
        <v>5115</v>
      </c>
    </row>
    <row r="18" customFormat="false" ht="15" hidden="false" customHeight="false" outlineLevel="0" collapsed="false">
      <c r="A18" s="2" t="s">
        <v>187</v>
      </c>
      <c r="B18" s="14" t="n">
        <f aca="false">B17*Data!B55</f>
        <v>3580.5</v>
      </c>
    </row>
    <row r="19" customFormat="false" ht="15" hidden="false" customHeight="false" outlineLevel="0" collapsed="false">
      <c r="A19" s="2" t="s">
        <v>188</v>
      </c>
      <c r="B19" s="14" t="n">
        <f aca="false">B17*(1-Data!B55)</f>
        <v>1534.5</v>
      </c>
    </row>
    <row r="20" customFormat="false" ht="15" hidden="false" customHeight="false" outlineLevel="0" collapsed="false">
      <c r="A20" s="2" t="s">
        <v>189</v>
      </c>
      <c r="B20" s="14" t="n">
        <f aca="false">B19*Data!B35</f>
        <v>168795</v>
      </c>
    </row>
    <row r="21" customFormat="false" ht="30" hidden="false" customHeight="true" outlineLevel="0" collapsed="false">
      <c r="A21" s="2" t="s">
        <v>190</v>
      </c>
      <c r="B21" s="14" t="n">
        <f aca="false">B17*Data!B55*0.5*Data!B36</f>
        <v>98463.75</v>
      </c>
      <c r="C21" s="21" t="s">
        <v>191</v>
      </c>
    </row>
    <row r="23" customFormat="false" ht="15" hidden="false" customHeight="true" outlineLevel="0" collapsed="false">
      <c r="A23" s="8" t="s">
        <v>192</v>
      </c>
      <c r="B23" s="8"/>
      <c r="C23" s="8"/>
    </row>
    <row r="24" customFormat="false" ht="90" hidden="false" customHeight="true" outlineLevel="0" collapsed="false">
      <c r="A24" s="31" t="s">
        <v>193</v>
      </c>
    </row>
    <row r="25" customFormat="false" ht="15" hidden="false" customHeight="false" outlineLevel="0" collapsed="false">
      <c r="A25" s="32"/>
      <c r="B25" s="32"/>
      <c r="C25" s="32"/>
    </row>
  </sheetData>
  <mergeCells count="5">
    <mergeCell ref="A1:C1"/>
    <mergeCell ref="B3:C3"/>
    <mergeCell ref="A11:C11"/>
    <mergeCell ref="A23:C23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2026-09-09T17:06:05Z</dcterms:created>
  <dc:creator>openpyxl</dc:creator>
  <dc:description/>
  <dc:language>en-US</dc:language>
  <cp:lastModifiedBy/>
  <dcterms:modified xsi:type="dcterms:W3CDTF">2026-09-09T17:06:07Z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